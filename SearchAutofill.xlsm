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updateLinks="never" codeName="DieseArbeitsmappe" defaultThemeVersion="123820"/>
  <mc:AlternateContent xmlns:mc="http://schemas.openxmlformats.org/markup-compatibility/2006">
    <mc:Choice Requires="x15">
      <x15ac:absPath xmlns:x15ac="http://schemas.microsoft.com/office/spreadsheetml/2010/11/ac" url="C:\Users\jesko\PycharmProjects\BasicSearchAutoFill\"/>
    </mc:Choice>
  </mc:AlternateContent>
  <xr:revisionPtr revIDLastSave="0" documentId="13_ncr:1_{C5CECDC0-BCE8-4BAF-856D-00E6C799935B}" xr6:coauthVersionLast="47" xr6:coauthVersionMax="47" xr10:uidLastSave="{00000000-0000-0000-0000-000000000000}"/>
  <bookViews>
    <workbookView xWindow="28680" yWindow="-120" windowWidth="29040" windowHeight="15840" tabRatio="934" firstSheet="1" activeTab="1" xr2:uid="{00000000-000D-0000-FFFF-FFFF00000000}"/>
  </bookViews>
  <sheets>
    <sheet name="Standards" sheetId="26" state="hidden" r:id="rId1"/>
    <sheet name="SearchSelect" sheetId="28" r:id="rId2"/>
  </sheets>
  <externalReferences>
    <externalReference r:id="rId3"/>
  </externalReferences>
  <definedNames>
    <definedName name="Archiv">#REF!</definedName>
    <definedName name="beginndat">#REF!</definedName>
    <definedName name="BeginnDate">#REF!</definedName>
    <definedName name="cr">#REF!</definedName>
    <definedName name="cu">#REF!</definedName>
    <definedName name="Datenbereich" localSheetId="1">OFFSET(_xlnm.Database,1,0,ROWS(_xlnm.Database)-1,)</definedName>
    <definedName name="Datenbereich" localSheetId="0">OFFSET(_xlnm.Database,1,0,ROWS(_xlnm.Database)-1,)</definedName>
    <definedName name="Datenbereich">OFFSET(_xlnm.Database,1,0,ROWS(_xlnm.Database)-1,)</definedName>
    <definedName name="EndDate">#REF!</definedName>
    <definedName name="endedat">#REF!</definedName>
    <definedName name="Fitness">OFFSET([1]Abos!$B$6,,,COUNTA([1]Abos!$A:$A)-2,1)</definedName>
    <definedName name="Golfsport">OFFSET([1]Abos!$C$6,,,COUNTA([1]Abos!$A:$A)-2,1)</definedName>
    <definedName name="pfad">SUBSTITUTE(MID(CELL("Dateiname"),FIND("[",CELL("Dateiname")),LEN(CELL("Dateiname"))-FIND("[",CELL("Dateiname"))+1),"]","]'")&amp;"'"</definedName>
    <definedName name="Product">#REF!</definedName>
    <definedName name="ProductCategory">#REF!</definedName>
    <definedName name="Rubrik">OFFSET([1]Abos!$A$6,,,COUNTA([1]Abos!$A:$A)-2,1)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2" i="28" l="1"/>
  <c r="C10" i="28"/>
  <c r="C11" i="28"/>
  <c r="C12" i="28"/>
  <c r="C9" i="28"/>
  <c r="E5" i="28"/>
  <c r="E8" i="28"/>
  <c r="E7" i="28"/>
  <c r="E6" i="28"/>
  <c r="E4" i="28"/>
  <c r="E9" i="2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Users\RehbergJ\Desktop\Mappe1_mpe.xlsx" keepAlive="1" name="Mappe1_mpe" type="5" refreshedVersion="0" new="1" background="1">
    <dbPr connection="Provider=Microsoft.ACE.OLEDB.12.0;Password=&quot;&quot;;User ID=Admin;Data Source=C:\Users\RehbergJ\Desktop\Mappe1_mpe.xlsx;Mode=Share Deny Write;Extended Properties=&quot;HDR=YES;&quot;;Jet OLEDB:System database=&quot;&quot;;Jet OLEDB:Registry Path=&quot;&quot;;Jet OLEDB:Database Password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'Datatable II$'" commandType="3"/>
  </connection>
</connections>
</file>

<file path=xl/sharedStrings.xml><?xml version="1.0" encoding="utf-8"?>
<sst xmlns="http://schemas.openxmlformats.org/spreadsheetml/2006/main" count="781" uniqueCount="664">
  <si>
    <t>Product</t>
  </si>
  <si>
    <t>Line (Description)</t>
  </si>
  <si>
    <t>Entry Date</t>
  </si>
  <si>
    <t>Entity</t>
  </si>
  <si>
    <t>Calendar Week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</si>
  <si>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</si>
  <si>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</si>
  <si>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</si>
  <si>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</si>
  <si>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</si>
  <si>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</si>
  <si>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</si>
  <si>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</si>
  <si>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</si>
  <si>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</si>
  <si>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</si>
  <si>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</si>
  <si>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</si>
  <si>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</si>
  <si>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Cost Unit Code</t>
  </si>
  <si>
    <t>Beef</t>
  </si>
  <si>
    <t>Pork</t>
  </si>
  <si>
    <t>Chicken</t>
  </si>
  <si>
    <t>10001 Beef Product 1</t>
  </si>
  <si>
    <t>10002 Beef Product 2</t>
  </si>
  <si>
    <t>10003 Beef Product 3</t>
  </si>
  <si>
    <t xml:space="preserve"> </t>
  </si>
  <si>
    <t>accruals and deferrals</t>
  </si>
  <si>
    <t>Abgrenzungen</t>
  </si>
  <si>
    <t>depreciation</t>
  </si>
  <si>
    <t>Abschreibungen</t>
  </si>
  <si>
    <t>reconciliation bridge</t>
  </si>
  <si>
    <t>Abstimmbrücke</t>
  </si>
  <si>
    <t>variance</t>
  </si>
  <si>
    <t>Abweichung</t>
  </si>
  <si>
    <t xml:space="preserve">variance analysis </t>
  </si>
  <si>
    <t>Abweichungsanalyse</t>
  </si>
  <si>
    <t>variance résumé</t>
  </si>
  <si>
    <t>Abweichungsresümee</t>
  </si>
  <si>
    <t>controllership</t>
  </si>
  <si>
    <t>Alle Tätigkeiten der Controller</t>
  </si>
  <si>
    <t>due diligence</t>
  </si>
  <si>
    <t>angemessen sorgfältige Unternehmensanalyse</t>
  </si>
  <si>
    <t>acquisition value</t>
  </si>
  <si>
    <t>Anschaffungswert</t>
  </si>
  <si>
    <t>share</t>
  </si>
  <si>
    <t>Anteil, Aktie</t>
  </si>
  <si>
    <t>work plan</t>
  </si>
  <si>
    <t>Arbeitsplan</t>
  </si>
  <si>
    <t xml:space="preserve">net present value </t>
  </si>
  <si>
    <t>Barwert einer zukünftigen Zahlung</t>
  </si>
  <si>
    <t>controllable costs</t>
  </si>
  <si>
    <t>Beeinflussbare Kosten</t>
  </si>
  <si>
    <t>controllability</t>
  </si>
  <si>
    <t>Beeinflussbarkeit</t>
  </si>
  <si>
    <t>voucher</t>
  </si>
  <si>
    <t>Beleg</t>
  </si>
  <si>
    <t>consultant</t>
  </si>
  <si>
    <t>Berater</t>
  </si>
  <si>
    <t xml:space="preserve">external reporting </t>
  </si>
  <si>
    <t>Berichterstattung nach aussen</t>
  </si>
  <si>
    <t>reporting</t>
  </si>
  <si>
    <t>Berichtswesen</t>
  </si>
  <si>
    <t xml:space="preserve">activity </t>
  </si>
  <si>
    <t>Beschäftigung</t>
  </si>
  <si>
    <t>activity level</t>
  </si>
  <si>
    <t>Beschäftigungsgrad</t>
  </si>
  <si>
    <t>Inventory valuation</t>
  </si>
  <si>
    <t>Bestandsbewertung</t>
  </si>
  <si>
    <t>inventory change</t>
  </si>
  <si>
    <t>Bestandsveränderung</t>
  </si>
  <si>
    <t>CFBIT (cash flow before deduction of interest and income tax)</t>
  </si>
  <si>
    <t>Betrieblicher Cash Flow (vor Abzug von Zinsen und Ertragsteuern)</t>
  </si>
  <si>
    <t>plant data collection</t>
  </si>
  <si>
    <t>Betriebsdatenerfassung</t>
  </si>
  <si>
    <t>operating result</t>
  </si>
  <si>
    <t>Betriebsergebnis</t>
  </si>
  <si>
    <t>Earnings Before Interest and Taxes EBIT</t>
  </si>
  <si>
    <t>Betriebsgewinn</t>
  </si>
  <si>
    <t>operating assets</t>
  </si>
  <si>
    <t>Betriebsnotwendiges Vermögen</t>
  </si>
  <si>
    <t>statement of application of funds</t>
  </si>
  <si>
    <t>Bewegungsbilanz</t>
  </si>
  <si>
    <t>roduct costing with activity units</t>
  </si>
  <si>
    <t>Bezugsgrößenkalkulation</t>
  </si>
  <si>
    <t>market capitalization</t>
  </si>
  <si>
    <t>Börsenwert</t>
  </si>
  <si>
    <t>gross cash flow</t>
  </si>
  <si>
    <t>Brutto-Cash Flow</t>
  </si>
  <si>
    <t>gross margin</t>
  </si>
  <si>
    <t>Bruttogewinnspanne</t>
  </si>
  <si>
    <t>book value</t>
  </si>
  <si>
    <t>Buchwert</t>
  </si>
  <si>
    <t>budgeting</t>
  </si>
  <si>
    <t>Budgetierung</t>
  </si>
  <si>
    <t>cash flow</t>
  </si>
  <si>
    <t>Cash Flow</t>
  </si>
  <si>
    <t>cash flow from operations</t>
  </si>
  <si>
    <t>Cash Flow II</t>
  </si>
  <si>
    <t>EBITDA = CFBIT</t>
  </si>
  <si>
    <t>Cash Flow vor Abzug von Zinsen, Steuern und Goodwillabschreibung</t>
  </si>
  <si>
    <t>CFROI</t>
  </si>
  <si>
    <t>CFBIT-Rentabilität</t>
  </si>
  <si>
    <t>controller</t>
  </si>
  <si>
    <t>Controller</t>
  </si>
  <si>
    <t>controllers department</t>
  </si>
  <si>
    <t>Controllerdienst</t>
  </si>
  <si>
    <t>controller organisation</t>
  </si>
  <si>
    <t>Controllerorganisation</t>
  </si>
  <si>
    <t>controlling</t>
  </si>
  <si>
    <t>Controlling (Arbeit der Führungskräfte)</t>
  </si>
  <si>
    <t>controlling year planner</t>
  </si>
  <si>
    <t>Controlling-Kalender</t>
  </si>
  <si>
    <t>contribution margin</t>
  </si>
  <si>
    <t>Deckungsbeitrag</t>
  </si>
  <si>
    <t>direct costing</t>
  </si>
  <si>
    <t>Deckungsbeitragsrechnung (einstufig)</t>
  </si>
  <si>
    <t>decentralised controllers</t>
  </si>
  <si>
    <t>Dezentrale Controller</t>
  </si>
  <si>
    <t>direct method</t>
  </si>
  <si>
    <t>Direkte Cash Flow-Ermittlung aus der GuV</t>
  </si>
  <si>
    <t>equity</t>
  </si>
  <si>
    <t>Eigenkapital</t>
  </si>
  <si>
    <t>direct costs</t>
  </si>
  <si>
    <t>Einzelkosten</t>
  </si>
  <si>
    <t>direct material costs</t>
  </si>
  <si>
    <t>Einzelmaterialkosten</t>
  </si>
  <si>
    <t>decision accounting</t>
  </si>
  <si>
    <t>Entscheidungsrechnung</t>
  </si>
  <si>
    <t>decision support system DSS</t>
  </si>
  <si>
    <t>Entscheidungsunterstützungssystem EUS</t>
  </si>
  <si>
    <t>experience curve</t>
  </si>
  <si>
    <t>Erfahrungskurve</t>
  </si>
  <si>
    <t>potentials for success</t>
  </si>
  <si>
    <t>Erfolgspotentiale</t>
  </si>
  <si>
    <t>financial auditing</t>
  </si>
  <si>
    <t>Ergebnisprüfung (interne Revision)</t>
  </si>
  <si>
    <t>revenue</t>
  </si>
  <si>
    <t>Erlös</t>
  </si>
  <si>
    <t>trade discount</t>
  </si>
  <si>
    <t>Erlösschmälerung</t>
  </si>
  <si>
    <t>Income tax</t>
  </si>
  <si>
    <t>Ertragsteuer</t>
  </si>
  <si>
    <t>forecast (to end of the year)</t>
  </si>
  <si>
    <t>Erwartungsrechnung, Vorschau</t>
  </si>
  <si>
    <t>percentage of completion</t>
  </si>
  <si>
    <t>Fertigstellungsstand</t>
  </si>
  <si>
    <t>manufacturing costs / conversion costs</t>
  </si>
  <si>
    <t>Fertigungskosten</t>
  </si>
  <si>
    <t>Chief Financial Officer CFO</t>
  </si>
  <si>
    <t>Finanzchef</t>
  </si>
  <si>
    <t>financial concept</t>
  </si>
  <si>
    <t>Finanzielles Unternehmenskonzept</t>
  </si>
  <si>
    <t>financial budget</t>
  </si>
  <si>
    <t>Finanzplan</t>
  </si>
  <si>
    <t>manufacturing structure costs</t>
  </si>
  <si>
    <t>fixe Fertigungskosten</t>
  </si>
  <si>
    <t>fixed costs</t>
  </si>
  <si>
    <t>Fixkosten</t>
  </si>
  <si>
    <t>accounts receivable</t>
  </si>
  <si>
    <t>Forderungen / Debitoren</t>
  </si>
  <si>
    <t>question-marks</t>
  </si>
  <si>
    <t>Fragezeichen (Portfolio)</t>
  </si>
  <si>
    <t>tax shield</t>
  </si>
  <si>
    <t>Fremdkapitalzinsen sind steuerlich abzugsfähig</t>
  </si>
  <si>
    <t>early warning</t>
  </si>
  <si>
    <t>Frühwarnung</t>
  </si>
  <si>
    <t>management</t>
  </si>
  <si>
    <t>Führung</t>
  </si>
  <si>
    <t>management by objectives</t>
  </si>
  <si>
    <t>Führung durch Zielvereinbarung</t>
  </si>
  <si>
    <t>management information system MIS</t>
  </si>
  <si>
    <t>Führungs-Informationssystem</t>
  </si>
  <si>
    <t>functional area strategy</t>
  </si>
  <si>
    <t>Funktionale Strategie</t>
  </si>
  <si>
    <t>riskmap</t>
  </si>
  <si>
    <t>Gegenüberstellung von Risikowahrscheinlichkeit und Schadenhöhe</t>
  </si>
  <si>
    <t>discounted cash flow</t>
  </si>
  <si>
    <t>Gegenwartswert (abgezinst)</t>
  </si>
  <si>
    <t>cash value added CVA</t>
  </si>
  <si>
    <t>Geldrückfluss über marktgerechte Verzinsung hinaus</t>
  </si>
  <si>
    <t>free cash flow</t>
  </si>
  <si>
    <t>Geldzufluss zur Bedienung des zinskostenden Kapitals</t>
  </si>
  <si>
    <t xml:space="preserve">indirect costs </t>
  </si>
  <si>
    <t>Gemeinkosten</t>
  </si>
  <si>
    <t>overheads / overhead costs</t>
  </si>
  <si>
    <t>Return on Investment ROI</t>
  </si>
  <si>
    <t>Gesamtkapitalrentabilität</t>
  </si>
  <si>
    <t>period costing</t>
  </si>
  <si>
    <t>Gesamtkostenverfahren</t>
  </si>
  <si>
    <t>business plan</t>
  </si>
  <si>
    <t>Geschäftsplan</t>
  </si>
  <si>
    <t>Weighted Average Cost of Capital WACC</t>
  </si>
  <si>
    <t>Gewichteter durchschnittlicher Kapitalkostensatz</t>
  </si>
  <si>
    <t>et operating profit after taxes NOPAT</t>
  </si>
  <si>
    <t>Gewinn nach Zinsen und latenten Steuern</t>
  </si>
  <si>
    <t>income statement</t>
  </si>
  <si>
    <t>Gewinn- und Verlustrechnung</t>
  </si>
  <si>
    <t>profitplan</t>
  </si>
  <si>
    <t>Gewinnplan</t>
  </si>
  <si>
    <t>profit carried forward</t>
  </si>
  <si>
    <t>Gewinnvortrag</t>
  </si>
  <si>
    <t>profit objective</t>
  </si>
  <si>
    <t>Gewinnziel</t>
  </si>
  <si>
    <t>amortisation on goodwill</t>
  </si>
  <si>
    <t>Goodwill-Abschreibung</t>
  </si>
  <si>
    <t xml:space="preserve">marginal costs </t>
  </si>
  <si>
    <t>Grenzkosten, proportionale Kosten</t>
  </si>
  <si>
    <t>general ledger</t>
  </si>
  <si>
    <t>Hauptbuch</t>
  </si>
  <si>
    <t>main strategy</t>
  </si>
  <si>
    <t>Hauptstrategie</t>
  </si>
  <si>
    <t>costs of goods sold</t>
  </si>
  <si>
    <t>Herstellkosten der verkauften Produkte</t>
  </si>
  <si>
    <t>cost of sales</t>
  </si>
  <si>
    <t>Herstellkosten des Umsatzes</t>
  </si>
  <si>
    <t>historic purchase price</t>
  </si>
  <si>
    <t>historischer Anschaffungswert</t>
  </si>
  <si>
    <t>indirect method</t>
  </si>
  <si>
    <t>indirekte Methode der Cash Flow-Ermittlung</t>
  </si>
  <si>
    <t>executive information system EIS</t>
  </si>
  <si>
    <t>Informationssystem für die oberste Hierarchiestufe</t>
  </si>
  <si>
    <t>stakeholder</t>
  </si>
  <si>
    <t>Interessenvertreter (am Unternehmen)</t>
  </si>
  <si>
    <t>International Accounting Standards IAS</t>
  </si>
  <si>
    <t>Internationale Rechnungslegungsvorschriften</t>
  </si>
  <si>
    <t>Internal auditing</t>
  </si>
  <si>
    <t>Interne Revision</t>
  </si>
  <si>
    <t>internal rate of return</t>
  </si>
  <si>
    <t>Interner Ertragssatz</t>
  </si>
  <si>
    <t>Investments</t>
  </si>
  <si>
    <t>Investitionen</t>
  </si>
  <si>
    <t>investment proposal</t>
  </si>
  <si>
    <t>Investitionsantrag</t>
  </si>
  <si>
    <t>investment budget</t>
  </si>
  <si>
    <t>Investitionsbudget</t>
  </si>
  <si>
    <t>capital budgeting</t>
  </si>
  <si>
    <t>Investitionsrechnung</t>
  </si>
  <si>
    <t>investment appraisal</t>
  </si>
  <si>
    <t>actual data</t>
  </si>
  <si>
    <t>Istdaten</t>
  </si>
  <si>
    <t>actual costs (incurred)</t>
  </si>
  <si>
    <t>Istkosten</t>
  </si>
  <si>
    <t>Actual activity</t>
  </si>
  <si>
    <t>Istleistung</t>
  </si>
  <si>
    <t>year planner</t>
  </si>
  <si>
    <t>Jahreskalender</t>
  </si>
  <si>
    <t>kaizen</t>
  </si>
  <si>
    <t>Kaizen / KVP</t>
  </si>
  <si>
    <t>product costing</t>
  </si>
  <si>
    <t>Kalkulation</t>
  </si>
  <si>
    <t>product costing scheme</t>
  </si>
  <si>
    <t>Kalkulationsschema</t>
  </si>
  <si>
    <t>imputed depreciation</t>
  </si>
  <si>
    <t>kalkulatorische Abschreibung</t>
  </si>
  <si>
    <t>imputed costs</t>
  </si>
  <si>
    <t>Kalkulatorische Kosten</t>
  </si>
  <si>
    <t>cash flow analysis</t>
  </si>
  <si>
    <t>Kapitalflußrechnung</t>
  </si>
  <si>
    <t>statement of changes in financial position</t>
  </si>
  <si>
    <t>ratio systems</t>
  </si>
  <si>
    <t>Kennzahlensysteme</t>
  </si>
  <si>
    <t>core competences</t>
  </si>
  <si>
    <t>Kernkompetenzen</t>
  </si>
  <si>
    <t>competition analysis</t>
  </si>
  <si>
    <t>Konkurrenzanalyse</t>
  </si>
  <si>
    <t>consolidated statement</t>
  </si>
  <si>
    <t>Konsolidierte Rechnung</t>
  </si>
  <si>
    <t>continuous improvement process</t>
  </si>
  <si>
    <t>Kontinuierlicher Verbesserungsprozess KVP</t>
  </si>
  <si>
    <t>coordination</t>
  </si>
  <si>
    <t>Koordination</t>
  </si>
  <si>
    <t>costs</t>
  </si>
  <si>
    <t>Kosten</t>
  </si>
  <si>
    <t>cost benefit analysis</t>
  </si>
  <si>
    <t>Kosten-/Nutzenanalyse</t>
  </si>
  <si>
    <t>cost type</t>
  </si>
  <si>
    <t>Kostenart</t>
  </si>
  <si>
    <t>cost accounting</t>
  </si>
  <si>
    <t>Kostenrechnung</t>
  </si>
  <si>
    <t>management accounting</t>
  </si>
  <si>
    <t>Kostenrechnung für Führungszwecke</t>
  </si>
  <si>
    <t>cost aspects</t>
  </si>
  <si>
    <t>Kostensachverhalte</t>
  </si>
  <si>
    <t>cost rate / application rate</t>
  </si>
  <si>
    <t>Kostensatz</t>
  </si>
  <si>
    <t>cost center</t>
  </si>
  <si>
    <t>Kostenstelle</t>
  </si>
  <si>
    <t>cost center accounting</t>
  </si>
  <si>
    <t>Kostenstellenrechnung</t>
  </si>
  <si>
    <t>cost object</t>
  </si>
  <si>
    <t>Kostenträger</t>
  </si>
  <si>
    <t>Kostenträgerrechnung</t>
  </si>
  <si>
    <t>cost drivers</t>
  </si>
  <si>
    <t>Kostentreiber</t>
  </si>
  <si>
    <t>cost cube</t>
  </si>
  <si>
    <t>Kostenwürfel</t>
  </si>
  <si>
    <t>cost allocation</t>
  </si>
  <si>
    <t>Kostenzurechnung (Umlage)</t>
  </si>
  <si>
    <t>accounts payable</t>
  </si>
  <si>
    <t>Kreditoren / Lieferantenschulden</t>
  </si>
  <si>
    <t>critical success factors</t>
  </si>
  <si>
    <t>Kritische Erfolgsfaktoren</t>
  </si>
  <si>
    <t>customer relation</t>
  </si>
  <si>
    <t>Kundenbeziehung</t>
  </si>
  <si>
    <t>customer contribution accounting</t>
  </si>
  <si>
    <t>Kundendeckungsbeitragsrechnung</t>
  </si>
  <si>
    <t>customer value</t>
  </si>
  <si>
    <t>Kundenwert</t>
  </si>
  <si>
    <t>short-term result account</t>
  </si>
  <si>
    <t>Kurzfristige Erfolgsrechnung (KER)</t>
  </si>
  <si>
    <t>stock</t>
  </si>
  <si>
    <t>Lager</t>
  </si>
  <si>
    <t>life cycle costs</t>
  </si>
  <si>
    <t>Lebenszykluskosten</t>
  </si>
  <si>
    <t>performance assessment</t>
  </si>
  <si>
    <t>Leistungsbeurteilung</t>
  </si>
  <si>
    <t>performance potential</t>
  </si>
  <si>
    <t>Leistungspotential</t>
  </si>
  <si>
    <t>mission statement</t>
  </si>
  <si>
    <t>Leitbild</t>
  </si>
  <si>
    <t>straight line depreciation</t>
  </si>
  <si>
    <t>lineare Abschreibung</t>
  </si>
  <si>
    <t>cash cows</t>
  </si>
  <si>
    <t>Liquiditätsgenerierer (im Portfolio)</t>
  </si>
  <si>
    <t>work ticket</t>
  </si>
  <si>
    <t>Lohnschein, Fertigungsschein</t>
  </si>
  <si>
    <t>GAP-analysis</t>
  </si>
  <si>
    <t>Lückenanalyse</t>
  </si>
  <si>
    <t>management result account</t>
  </si>
  <si>
    <t>Management - Erfolgsrechnung</t>
  </si>
  <si>
    <t>time-based management</t>
  </si>
  <si>
    <t>Management mit Zeit als kritischem Erfolgsfaktor</t>
  </si>
  <si>
    <t>management result</t>
  </si>
  <si>
    <t>Management-Ergebnis (der Berichtsperiode)</t>
  </si>
  <si>
    <t>market share</t>
  </si>
  <si>
    <t>Marktanteil</t>
  </si>
  <si>
    <t>market share absolute</t>
  </si>
  <si>
    <t>Marktanteil absolut</t>
  </si>
  <si>
    <t>beta-factor</t>
  </si>
  <si>
    <t>Mass der subjektiven Aktienvolatilität</t>
  </si>
  <si>
    <t>standards of performance SOP</t>
  </si>
  <si>
    <t>Mass für die mögliche Leistung einer Stelle</t>
  </si>
  <si>
    <t>materials requirement planning</t>
  </si>
  <si>
    <t>Materialbedarfsplanung</t>
  </si>
  <si>
    <t>material overheads</t>
  </si>
  <si>
    <t>Material-Gemeinkosten</t>
  </si>
  <si>
    <t>efficiency variance</t>
  </si>
  <si>
    <t>Materialmengenabweichung</t>
  </si>
  <si>
    <t>multidimensional contribution accounting</t>
  </si>
  <si>
    <t>mehrdimensionale Deckungsbeitragsrechnung</t>
  </si>
  <si>
    <t>quantity structure</t>
  </si>
  <si>
    <t>Mengengerüst</t>
  </si>
  <si>
    <t>cash flow statement</t>
  </si>
  <si>
    <t>Mittelflussrechnung</t>
  </si>
  <si>
    <t>financial planning</t>
  </si>
  <si>
    <t>Mittelfristige Bilanz- und GuV-Planung</t>
  </si>
  <si>
    <t>midrange-planning</t>
  </si>
  <si>
    <t>Mittelfristplanung</t>
  </si>
  <si>
    <t>application of funds</t>
  </si>
  <si>
    <t>Mittelverwendung</t>
  </si>
  <si>
    <t>moderation</t>
  </si>
  <si>
    <t>Moderation</t>
  </si>
  <si>
    <t>moderation techniques</t>
  </si>
  <si>
    <t>Moderationstechniken</t>
  </si>
  <si>
    <t>net operating assets NOA</t>
  </si>
  <si>
    <t>Netto-betriebsnotwendiges Vermögen</t>
  </si>
  <si>
    <t>working capital (net)</t>
  </si>
  <si>
    <t>Netto-Umlaufvermögen</t>
  </si>
  <si>
    <t>relaunch</t>
  </si>
  <si>
    <t>Neupositionierung eines bestehenden Produkts</t>
  </si>
  <si>
    <t>niche strategy</t>
  </si>
  <si>
    <t>Nischenstrategie</t>
  </si>
  <si>
    <t>normal capacity</t>
  </si>
  <si>
    <t>Normalkapazität</t>
  </si>
  <si>
    <t>break-even</t>
  </si>
  <si>
    <t>Nutzschwelle</t>
  </si>
  <si>
    <t>cost-benefit analysis</t>
  </si>
  <si>
    <t>Nutzwertanalyse</t>
  </si>
  <si>
    <t>objective risk</t>
  </si>
  <si>
    <t>Objektives Volatilitätsrisiko eines Aktienmarktes</t>
  </si>
  <si>
    <t>operative planning</t>
  </si>
  <si>
    <t>Operative Planung</t>
  </si>
  <si>
    <t>operative controlling</t>
  </si>
  <si>
    <t>Operatives Controlling</t>
  </si>
  <si>
    <t>opportunity costs</t>
  </si>
  <si>
    <t>Opportunitätskosten</t>
  </si>
  <si>
    <t>organisation plan</t>
  </si>
  <si>
    <t>Organigramm</t>
  </si>
  <si>
    <t>period costs</t>
  </si>
  <si>
    <t>Periodenkosten</t>
  </si>
  <si>
    <t>planned activity</t>
  </si>
  <si>
    <t>Planbeschäftigung</t>
  </si>
  <si>
    <t>planned costs</t>
  </si>
  <si>
    <t>Plankosten</t>
  </si>
  <si>
    <t>planning</t>
  </si>
  <si>
    <t>Planung</t>
  </si>
  <si>
    <t>zero base budgeting</t>
  </si>
  <si>
    <t>Planung "von der grünen Wiese aus"</t>
  </si>
  <si>
    <t>planning framework</t>
  </si>
  <si>
    <t>Planungssystematik</t>
  </si>
  <si>
    <t>portfolio analysis</t>
  </si>
  <si>
    <t>Portfolio-Analyse</t>
  </si>
  <si>
    <t>portfolio concept</t>
  </si>
  <si>
    <t>Portfoliokonzept</t>
  </si>
  <si>
    <t>potential analysis</t>
  </si>
  <si>
    <t>Potential-Analyse</t>
  </si>
  <si>
    <t>practitioner's definition</t>
  </si>
  <si>
    <t>Praktikermethode (Unternehmensbewertung)</t>
  </si>
  <si>
    <t>price / earnings-ratio</t>
  </si>
  <si>
    <t>Preis/Gewinn-Verhältnis eines Aktie</t>
  </si>
  <si>
    <t>price variance</t>
  </si>
  <si>
    <t>Preisabweichung (Einkauf)</t>
  </si>
  <si>
    <t>primary costs</t>
  </si>
  <si>
    <t>Primäre Kosten</t>
  </si>
  <si>
    <t>sales mix</t>
  </si>
  <si>
    <t>Produktemix</t>
  </si>
  <si>
    <t>structure costs of the product group</t>
  </si>
  <si>
    <t>Produktgruppen-Strukturkosten</t>
  </si>
  <si>
    <t>production planning and scheduling</t>
  </si>
  <si>
    <t>Produktionsplanung und -steuerung (PPS)</t>
  </si>
  <si>
    <t>roduct costs</t>
  </si>
  <si>
    <t>Produktkosten (Proko)</t>
  </si>
  <si>
    <t>profit center</t>
  </si>
  <si>
    <t>Profit Center</t>
  </si>
  <si>
    <t>profit and service center</t>
  </si>
  <si>
    <t>Profit und Service Center</t>
  </si>
  <si>
    <t>prognoses</t>
  </si>
  <si>
    <t>Prognosen</t>
  </si>
  <si>
    <t>project</t>
  </si>
  <si>
    <t>Projekt</t>
  </si>
  <si>
    <t>project controlling</t>
  </si>
  <si>
    <t>Projektcontrolling</t>
  </si>
  <si>
    <t>proportional manufacturing costs</t>
  </si>
  <si>
    <t>Proportionale Fertigungskosten</t>
  </si>
  <si>
    <t>proportional costs</t>
  </si>
  <si>
    <t>Proportionale Kosten</t>
  </si>
  <si>
    <t>activity-based costing</t>
  </si>
  <si>
    <t>Prozeßkostenrechnung</t>
  </si>
  <si>
    <t>quality</t>
  </si>
  <si>
    <t>Qualität</t>
  </si>
  <si>
    <t>allowance</t>
  </si>
  <si>
    <t>Rabatt</t>
  </si>
  <si>
    <t>US GAAP (Generally Accepted Accounting Principles)</t>
  </si>
  <si>
    <t>Rechnungslegungsvorschriften der US-Börsen</t>
  </si>
  <si>
    <t>feedback control loop</t>
  </si>
  <si>
    <t>Regelkreis</t>
  </si>
  <si>
    <t>net income</t>
  </si>
  <si>
    <t>Reingewinn</t>
  </si>
  <si>
    <t xml:space="preserve">relative market share </t>
  </si>
  <si>
    <t>relativer Marktanteil</t>
  </si>
  <si>
    <t>profitability</t>
  </si>
  <si>
    <t>Rentabilität</t>
  </si>
  <si>
    <t>return on operating assets ROA</t>
  </si>
  <si>
    <t>Rentabilität des betriebsnotwendigen Vermögens</t>
  </si>
  <si>
    <t>Return on Capital Employed ROCE</t>
  </si>
  <si>
    <t>Rentabilität des zinskostenden Kapitals</t>
  </si>
  <si>
    <t>risk</t>
  </si>
  <si>
    <t>Risiko</t>
  </si>
  <si>
    <t>ROI target</t>
  </si>
  <si>
    <t>ROI-Ziel</t>
  </si>
  <si>
    <t>feedback</t>
  </si>
  <si>
    <t>Rückkopplung</t>
  </si>
  <si>
    <t>retained earnings</t>
  </si>
  <si>
    <t>Rücklagen / Reserven</t>
  </si>
  <si>
    <t>accruals</t>
  </si>
  <si>
    <t>Rückstellungen</t>
  </si>
  <si>
    <t>provisions</t>
  </si>
  <si>
    <t>poor dogs</t>
  </si>
  <si>
    <t>Schrott (im Portfolio)</t>
  </si>
  <si>
    <t>secondary costs</t>
  </si>
  <si>
    <t>Sekundärkosten</t>
  </si>
  <si>
    <t>cost price</t>
  </si>
  <si>
    <t>Selbstkosten</t>
  </si>
  <si>
    <t>sensitivity analysis</t>
  </si>
  <si>
    <t>Sensitivitätsanalyse</t>
  </si>
  <si>
    <t>simulation</t>
  </si>
  <si>
    <t>Simulation</t>
  </si>
  <si>
    <t>comparison of budget and actual figures (CBA)</t>
  </si>
  <si>
    <t>Soll - Ist - Vergleich</t>
  </si>
  <si>
    <t>target / actual comparison</t>
  </si>
  <si>
    <t>performance report</t>
  </si>
  <si>
    <t>Soll-Ist-Vergleich</t>
  </si>
  <si>
    <t>flexible budget</t>
  </si>
  <si>
    <t>Sollkosten</t>
  </si>
  <si>
    <t>special direct costs</t>
  </si>
  <si>
    <t>Sondereinzelkosten (SEK)</t>
  </si>
  <si>
    <t>social concept</t>
  </si>
  <si>
    <t>Soziales Unternehmenskonzept</t>
  </si>
  <si>
    <t>stability</t>
  </si>
  <si>
    <t>Stabilität</t>
  </si>
  <si>
    <t>standard costing</t>
  </si>
  <si>
    <t>Standardkostenrechnung</t>
  </si>
  <si>
    <t>standard price system</t>
  </si>
  <si>
    <t>Standard-Preissystem</t>
  </si>
  <si>
    <t>SWOT analysis</t>
  </si>
  <si>
    <t>Stärken-, Schwächen-, Chancen und Risiken-Analyse</t>
  </si>
  <si>
    <t>statistical tools</t>
  </si>
  <si>
    <t>Statistische Instrumente</t>
  </si>
  <si>
    <t>star</t>
  </si>
  <si>
    <t>Stern (im Portfolio)</t>
  </si>
  <si>
    <t>strategy</t>
  </si>
  <si>
    <t>Strategie</t>
  </si>
  <si>
    <t>balanced scorecard</t>
  </si>
  <si>
    <t>Strategieumsetzung mittels Kennzahlen</t>
  </si>
  <si>
    <t>strategic balance sheet</t>
  </si>
  <si>
    <t>Strategische Bilanz</t>
  </si>
  <si>
    <t>strategic planning</t>
  </si>
  <si>
    <t>Strategische Planung</t>
  </si>
  <si>
    <t>strategic tools</t>
  </si>
  <si>
    <t>Strategische Werkzeuge</t>
  </si>
  <si>
    <t>strategic controlling</t>
  </si>
  <si>
    <t>Strategisches Controlling</t>
  </si>
  <si>
    <t>strategic business unit SBU</t>
  </si>
  <si>
    <t>Strategisches Geschäftsfeld SGF</t>
  </si>
  <si>
    <t>dotted line</t>
  </si>
  <si>
    <t>strichlierte Linie (Hierarchie)</t>
  </si>
  <si>
    <t>structure costs</t>
  </si>
  <si>
    <t>Strukturkosten (fix)</t>
  </si>
  <si>
    <t>bill of materials</t>
  </si>
  <si>
    <t>Stückliste</t>
  </si>
  <si>
    <t>stepwise contribution accounting</t>
  </si>
  <si>
    <t>Stufenweise Deckungsbeitragsrechnung</t>
  </si>
  <si>
    <t>sustaining asset value</t>
  </si>
  <si>
    <t>Substanzerhaltung</t>
  </si>
  <si>
    <t>operational auditing</t>
  </si>
  <si>
    <t>Systemprüfung (interne Revision)</t>
  </si>
  <si>
    <t>scenario</t>
  </si>
  <si>
    <t>Szenario</t>
  </si>
  <si>
    <t>amortisation</t>
  </si>
  <si>
    <t>Tilgung</t>
  </si>
  <si>
    <t>Total Quality Management (TQM)</t>
  </si>
  <si>
    <t>economic Profit</t>
  </si>
  <si>
    <t>Uebergewinn über die marktgerechte Verzinsung</t>
  </si>
  <si>
    <t>spread</t>
  </si>
  <si>
    <t>Uebergewinnrentabilität</t>
  </si>
  <si>
    <t>cost allocation base</t>
  </si>
  <si>
    <t>Umlagebasis (z.B. Herstellkosten)</t>
  </si>
  <si>
    <t xml:space="preserve">allocation key </t>
  </si>
  <si>
    <t>Umlageschlüssel</t>
  </si>
  <si>
    <t>cost of sales method</t>
  </si>
  <si>
    <t>Umsatzkostenverfahren</t>
  </si>
  <si>
    <t>corporate identity</t>
  </si>
  <si>
    <t>Unternehmensidentität</t>
  </si>
  <si>
    <t>business concept</t>
  </si>
  <si>
    <t>Unternehmenskonzept</t>
  </si>
  <si>
    <t>corporate policy</t>
  </si>
  <si>
    <t>Unternehmenspolitik</t>
  </si>
  <si>
    <t>enterprise value</t>
  </si>
  <si>
    <t>Unternehmenswert</t>
  </si>
  <si>
    <t>variable costs</t>
  </si>
  <si>
    <t>Variable Kosten</t>
  </si>
  <si>
    <t>responsibility</t>
  </si>
  <si>
    <t>Verantwortlichkeit</t>
  </si>
  <si>
    <t>responsibility accounting</t>
  </si>
  <si>
    <t>Verantwortlichkeitsrechnung</t>
  </si>
  <si>
    <t>spending variance</t>
  </si>
  <si>
    <t>Verbrauchsabweichung</t>
  </si>
  <si>
    <t>benchmarking</t>
  </si>
  <si>
    <t>Vergleich mit dem Besten (nicht Betriebsvergleich)</t>
  </si>
  <si>
    <t>sales result account</t>
  </si>
  <si>
    <t>Verkaufserfolgsrechnung</t>
  </si>
  <si>
    <t>sales structure costs</t>
  </si>
  <si>
    <t>Verkaufsfixkosten</t>
  </si>
  <si>
    <t>sales quantity variance</t>
  </si>
  <si>
    <t>Verkaufsmengenabweichung</t>
  </si>
  <si>
    <t>transfer prices (between companies)</t>
  </si>
  <si>
    <t>Verrechnungspreise</t>
  </si>
  <si>
    <t>treasurer</t>
  </si>
  <si>
    <t>Verwalter der Finanzmittel</t>
  </si>
  <si>
    <t>board of directors</t>
  </si>
  <si>
    <t>Verwaltungsrat</t>
  </si>
  <si>
    <t>multiple</t>
  </si>
  <si>
    <t>Vielfaches eines Werts, z.B. Umsatz</t>
  </si>
  <si>
    <t>vision</t>
  </si>
  <si>
    <t>Vision</t>
  </si>
  <si>
    <t>full manufacturing costs</t>
  </si>
  <si>
    <t>volle Fertigungskosten</t>
  </si>
  <si>
    <t>full costs</t>
  </si>
  <si>
    <t>volle Kosten</t>
  </si>
  <si>
    <t>full cost price</t>
  </si>
  <si>
    <t>Vollkostenpreis</t>
  </si>
  <si>
    <t>absorption costing</t>
  </si>
  <si>
    <t>Vollkostenrechnung</t>
  </si>
  <si>
    <t xml:space="preserve">allowed standard time </t>
  </si>
  <si>
    <t>Vorgabezeit</t>
  </si>
  <si>
    <t>preliminary costing</t>
  </si>
  <si>
    <t>Vorkalkulation (eines Auftrags)</t>
  </si>
  <si>
    <t>executive</t>
  </si>
  <si>
    <t>Vorstand</t>
  </si>
  <si>
    <t>feed forward</t>
  </si>
  <si>
    <t>Vorwärtskopplung</t>
  </si>
  <si>
    <t>weak signals</t>
  </si>
  <si>
    <t>Weiche Signale</t>
  </si>
  <si>
    <t>value</t>
  </si>
  <si>
    <t>Wert</t>
  </si>
  <si>
    <t>shareholder / shareholder value</t>
  </si>
  <si>
    <t>Wert der Aktien bei Ansatz einer marktgerechten Verzinsung</t>
  </si>
  <si>
    <t>value engineering</t>
  </si>
  <si>
    <t>Wertanalyse</t>
  </si>
  <si>
    <t>Total Shareholder Return</t>
  </si>
  <si>
    <t>Wertänderung einer Aktie zum Vorjahr (Kurs und Ausschüttung)</t>
  </si>
  <si>
    <t>valuation adjustment</t>
  </si>
  <si>
    <t>Wertberichtigung</t>
  </si>
  <si>
    <t>value structure</t>
  </si>
  <si>
    <t>Wertgerüst</t>
  </si>
  <si>
    <t>value chain analysis</t>
  </si>
  <si>
    <t>Wertkettenanalyse</t>
  </si>
  <si>
    <t>marketable securities</t>
  </si>
  <si>
    <t>Wertpapiere</t>
  </si>
  <si>
    <t>economic value added  EVA</t>
  </si>
  <si>
    <t>Wertsteigerung des Unternehmens in einem Jahr</t>
  </si>
  <si>
    <t xml:space="preserve">replacement cost </t>
  </si>
  <si>
    <t>Wiederbeschaffungswert</t>
  </si>
  <si>
    <t>economic appraisal</t>
  </si>
  <si>
    <t>Wirtschaftlichkeitsrechnung</t>
  </si>
  <si>
    <t>objective</t>
  </si>
  <si>
    <t>Ziel</t>
  </si>
  <si>
    <t>target cash flow</t>
  </si>
  <si>
    <t>Ziel-Cash Flow</t>
  </si>
  <si>
    <t>target costing</t>
  </si>
  <si>
    <t>Zielkostenmanagement</t>
  </si>
  <si>
    <t>German</t>
  </si>
  <si>
    <t>English</t>
  </si>
  <si>
    <t>Intangible assets</t>
  </si>
  <si>
    <r>
      <t>immaterieller</t>
    </r>
    <r>
      <rPr>
        <sz val="10"/>
        <rFont val="Arial"/>
        <family val="2"/>
      </rPr>
      <t xml:space="preserve"> </t>
    </r>
    <r>
      <rPr>
        <sz val="10"/>
        <color rgb="FF000000"/>
        <rFont val="Arial"/>
        <family val="2"/>
      </rPr>
      <t>Vermögensgegenstand</t>
    </r>
  </si>
  <si>
    <t>accrued depreciation</t>
  </si>
  <si>
    <t>aufgelaufene Abschreibung</t>
  </si>
  <si>
    <t>loans</t>
  </si>
  <si>
    <t>Darlehen</t>
  </si>
  <si>
    <t>Trade accounts receivables</t>
  </si>
  <si>
    <t>Forderungen aus Lieferungen und Leistungen</t>
  </si>
  <si>
    <t>Receivables affiliates - trade</t>
  </si>
  <si>
    <t>Forderungen aus verbundenen Unternehmen</t>
  </si>
  <si>
    <t>Vermögen</t>
  </si>
  <si>
    <t>assets</t>
  </si>
  <si>
    <t>subscribed capital</t>
  </si>
  <si>
    <t>eingeschriebenes / gezeichnetes Kapital</t>
  </si>
  <si>
    <t>Statutory and other reserves</t>
  </si>
  <si>
    <t>gesetzliche Rücklagen</t>
  </si>
  <si>
    <t>Retained earnings / losses</t>
  </si>
  <si>
    <t>Gewinnrücklagen / Verlustrücklagen</t>
  </si>
  <si>
    <t>profit distribution</t>
  </si>
  <si>
    <t>Gewinnausschüttung / Gewinnverteilung</t>
  </si>
  <si>
    <t>Trade accounts payables</t>
  </si>
  <si>
    <t>Verbindlichkeiten aus Handelsgeschäften</t>
  </si>
  <si>
    <t>liabilities</t>
  </si>
  <si>
    <t>Verbindlichkeiten / Schulden</t>
  </si>
  <si>
    <t>Property, Plant and Equipment</t>
  </si>
  <si>
    <t>Sachanlagen, immaterielle Vermögenswerte</t>
  </si>
  <si>
    <t>Capital Grant</t>
  </si>
  <si>
    <t>Kapitalzufluss</t>
  </si>
  <si>
    <t>Leasehold Improvements</t>
  </si>
  <si>
    <r>
      <t>Verbesserungen an</t>
    </r>
    <r>
      <rPr>
        <sz val="10"/>
        <rFont val="Arial"/>
        <family val="2"/>
      </rPr>
      <t xml:space="preserve"> </t>
    </r>
    <r>
      <rPr>
        <sz val="10"/>
        <color rgb="FF000000"/>
        <rFont val="Arial"/>
        <family val="2"/>
      </rPr>
      <t>gepachtetem</t>
    </r>
    <r>
      <rPr>
        <sz val="10"/>
        <rFont val="Arial"/>
        <family val="2"/>
      </rPr>
      <t xml:space="preserve"> </t>
    </r>
    <r>
      <rPr>
        <sz val="10"/>
        <color rgb="FF000000"/>
        <rFont val="Arial"/>
        <family val="2"/>
      </rPr>
      <t>/</t>
    </r>
    <r>
      <rPr>
        <sz val="10"/>
        <rFont val="Arial"/>
        <family val="2"/>
      </rPr>
      <t xml:space="preserve"> </t>
    </r>
    <r>
      <rPr>
        <sz val="10"/>
        <color rgb="FF000000"/>
        <rFont val="Arial"/>
        <family val="2"/>
      </rPr>
      <t>gemietetem</t>
    </r>
    <r>
      <rPr>
        <sz val="10"/>
        <rFont val="Arial"/>
        <family val="2"/>
      </rPr>
      <t xml:space="preserve"> </t>
    </r>
    <r>
      <rPr>
        <sz val="10"/>
        <color rgb="FF000000"/>
        <rFont val="Arial"/>
        <family val="2"/>
      </rPr>
      <t>Besitz</t>
    </r>
  </si>
  <si>
    <t>construction in progress</t>
  </si>
  <si>
    <t>im Bau befindliche Anlagen</t>
  </si>
  <si>
    <t>Goodwill</t>
  </si>
  <si>
    <t>Firmenwert</t>
  </si>
  <si>
    <t>intangibles</t>
  </si>
  <si>
    <t>immaterielle Werte</t>
  </si>
  <si>
    <t>useful lives</t>
  </si>
  <si>
    <t>Gebrauchsdauer, Lebensdauer</t>
  </si>
  <si>
    <t>reconciliation</t>
  </si>
  <si>
    <t>Abstimmung, Abgleich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</si>
</sst>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0000"/>
  </numFmts>
  <fonts count="37" x14ac:knownFonts="1">
    <font>
      <sz val="1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b/>
      <sz val="18"/>
      <color theme="3"/>
      <name val="Cambria"/>
      <family val="2"/>
      <scheme val="major"/>
    </font>
    <font>
      <sz val="11"/>
      <color rgb="FF3F3F76"/>
      <name val="Arial"/>
      <family val="2"/>
    </font>
    <font>
      <b/>
      <sz val="11"/>
      <color theme="1"/>
      <name val="Arial"/>
      <family val="2"/>
    </font>
    <font>
      <sz val="11"/>
      <color rgb="FF006100"/>
      <name val="Arial"/>
      <family val="2"/>
    </font>
    <font>
      <sz val="11"/>
      <color rgb="FF9C6500"/>
      <name val="Arial"/>
      <family val="2"/>
    </font>
    <font>
      <sz val="11"/>
      <color rgb="FF9C0006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FA7D00"/>
      <name val="Arial"/>
      <family val="2"/>
    </font>
    <font>
      <sz val="11"/>
      <color rgb="FFFF0000"/>
      <name val="Arial"/>
      <family val="2"/>
    </font>
    <font>
      <b/>
      <sz val="11"/>
      <color theme="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5"/>
        <bgColor indexed="45"/>
      </patternFill>
    </fill>
    <fill>
      <patternFill patternType="solid">
        <fgColor indexed="42"/>
        <bgColor indexed="42"/>
      </patternFill>
    </fill>
    <fill>
      <patternFill patternType="solid">
        <fgColor indexed="11"/>
        <bgColor indexed="11"/>
      </patternFill>
    </fill>
    <fill>
      <patternFill patternType="solid">
        <fgColor indexed="36"/>
        <bgColor indexed="36"/>
      </patternFill>
    </fill>
    <fill>
      <patternFill patternType="solid">
        <fgColor indexed="46"/>
        <bgColor indexed="46"/>
      </patternFill>
    </fill>
    <fill>
      <patternFill patternType="solid">
        <fgColor indexed="52"/>
        <bgColor indexed="52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5"/>
        <bgColor theme="5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7"/>
        <bgColor theme="7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2F2F2"/>
        <bgColor rgb="FFF2F2F2"/>
      </patternFill>
    </fill>
    <fill>
      <patternFill patternType="solid">
        <fgColor rgb="FFFFCC99"/>
        <bgColor rgb="FFFFCC99"/>
      </patternFill>
    </fill>
    <fill>
      <patternFill patternType="solid">
        <fgColor rgb="FFC6EFCE"/>
        <bgColor rgb="FFC6EFCE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rgb="FFFFEB9C"/>
        <bgColor rgb="FFFFEB9C"/>
      </patternFill>
    </fill>
    <fill>
      <patternFill patternType="solid">
        <fgColor rgb="FFFFFFCC"/>
        <bgColor rgb="FFFFFFCC"/>
      </patternFill>
    </fill>
    <fill>
      <patternFill patternType="solid">
        <fgColor rgb="FFFFC7CE"/>
        <bgColor rgb="FFFFC7CE"/>
      </patternFill>
    </fill>
    <fill>
      <patternFill patternType="solid">
        <fgColor rgb="FFA5A5A5"/>
        <bgColor rgb="FFA5A5A5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4">
    <xf numFmtId="0" fontId="0" fillId="0" borderId="0"/>
    <xf numFmtId="0" fontId="11" fillId="9" borderId="0" applyNumberFormat="0" applyBorder="0" applyAlignment="0" applyProtection="0"/>
    <xf numFmtId="0" fontId="12" fillId="2" borderId="0" applyNumberFormat="0" applyBorder="0" applyAlignment="0" applyProtection="0"/>
    <xf numFmtId="0" fontId="12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2" fillId="3" borderId="0" applyNumberFormat="0" applyBorder="0" applyAlignment="0" applyProtection="0"/>
    <xf numFmtId="0" fontId="12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2" fillId="7" borderId="0" applyNumberFormat="0" applyBorder="0" applyAlignment="0" applyProtection="0"/>
    <xf numFmtId="0" fontId="12" fillId="17" borderId="0" applyNumberFormat="0" applyBorder="0" applyAlignment="0" applyProtection="0"/>
    <xf numFmtId="0" fontId="11" fillId="6" borderId="0" applyNumberFormat="0" applyBorder="0" applyAlignment="0" applyProtection="0"/>
    <xf numFmtId="0" fontId="11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1" fillId="8" borderId="0" applyNumberFormat="0" applyBorder="0" applyAlignment="0" applyProtection="0"/>
    <xf numFmtId="0" fontId="13" fillId="25" borderId="1" applyNumberFormat="0" applyAlignment="0" applyProtection="0"/>
    <xf numFmtId="0" fontId="14" fillId="25" borderId="2" applyNumberFormat="0" applyAlignment="0" applyProtection="0"/>
    <xf numFmtId="0" fontId="15" fillId="0" borderId="0" applyNumberFormat="0" applyFill="0" applyBorder="0" applyAlignment="0" applyProtection="0"/>
    <xf numFmtId="0" fontId="16" fillId="26" borderId="2" applyNumberFormat="0" applyAlignment="0" applyProtection="0"/>
    <xf numFmtId="0" fontId="17" fillId="0" borderId="3" applyNumberFormat="0" applyFill="0" applyAlignment="0" applyProtection="0"/>
    <xf numFmtId="0" fontId="18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9" fillId="31" borderId="0" applyNumberFormat="0" applyBorder="0" applyAlignment="0" applyProtection="0"/>
    <xf numFmtId="0" fontId="10" fillId="32" borderId="4" applyNumberFormat="0" applyFont="0" applyAlignment="0" applyProtection="0"/>
    <xf numFmtId="0" fontId="20" fillId="33" borderId="0" applyNumberFormat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8" applyNumberFormat="0" applyFill="0" applyAlignment="0" applyProtection="0"/>
    <xf numFmtId="0" fontId="25" fillId="0" borderId="0" applyNumberFormat="0" applyFill="0" applyBorder="0" applyAlignment="0" applyProtection="0"/>
    <xf numFmtId="0" fontId="26" fillId="34" borderId="9" applyNumberFormat="0" applyAlignment="0" applyProtection="0"/>
    <xf numFmtId="0" fontId="9" fillId="0" borderId="0"/>
    <xf numFmtId="9" fontId="9" fillId="0" borderId="0" applyFont="0" applyFill="0" applyBorder="0" applyAlignment="0" applyProtection="0"/>
    <xf numFmtId="0" fontId="31" fillId="0" borderId="0"/>
    <xf numFmtId="44" fontId="31" fillId="0" borderId="0" applyFont="0" applyFill="0" applyBorder="0" applyAlignment="0" applyProtection="0"/>
    <xf numFmtId="0" fontId="32" fillId="0" borderId="0"/>
    <xf numFmtId="0" fontId="8" fillId="0" borderId="0"/>
    <xf numFmtId="9" fontId="10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2" fillId="0" borderId="0"/>
    <xf numFmtId="0" fontId="1" fillId="0" borderId="0"/>
  </cellStyleXfs>
  <cellXfs count="31">
    <xf numFmtId="0" fontId="0" fillId="0" borderId="0" xfId="0"/>
    <xf numFmtId="0" fontId="8" fillId="0" borderId="0" xfId="49" applyFont="1"/>
    <xf numFmtId="0" fontId="8" fillId="0" borderId="0" xfId="49" applyFont="1" applyAlignment="1">
      <alignment horizontal="center"/>
    </xf>
    <xf numFmtId="0" fontId="8" fillId="35" borderId="11" xfId="49" applyFont="1" applyFill="1" applyBorder="1" applyAlignment="1">
      <alignment horizontal="left"/>
    </xf>
    <xf numFmtId="0" fontId="28" fillId="36" borderId="10" xfId="49" applyFont="1" applyFill="1" applyBorder="1" applyAlignment="1">
      <alignment horizontal="center"/>
    </xf>
    <xf numFmtId="0" fontId="8" fillId="36" borderId="11" xfId="49" applyFont="1" applyFill="1" applyBorder="1" applyAlignment="1">
      <alignment horizontal="center"/>
    </xf>
    <xf numFmtId="0" fontId="8" fillId="36" borderId="10" xfId="49" applyFont="1" applyFill="1" applyBorder="1" applyAlignment="1">
      <alignment horizontal="center"/>
    </xf>
    <xf numFmtId="0" fontId="33" fillId="0" borderId="0" xfId="49" applyFont="1"/>
    <xf numFmtId="0" fontId="8" fillId="36" borderId="10" xfId="49" applyFont="1" applyFill="1" applyBorder="1"/>
    <xf numFmtId="14" fontId="8" fillId="36" borderId="10" xfId="49" applyNumberFormat="1" applyFont="1" applyFill="1" applyBorder="1" applyAlignment="1">
      <alignment horizontal="center"/>
    </xf>
    <xf numFmtId="0" fontId="8" fillId="36" borderId="0" xfId="49" applyFont="1" applyFill="1" applyBorder="1" applyAlignment="1">
      <alignment horizontal="center"/>
    </xf>
    <xf numFmtId="0" fontId="7" fillId="0" borderId="0" xfId="49" applyFont="1"/>
    <xf numFmtId="164" fontId="0" fillId="0" borderId="0" xfId="0" applyNumberFormat="1"/>
    <xf numFmtId="0" fontId="5" fillId="0" borderId="0" xfId="49" applyFont="1"/>
    <xf numFmtId="0" fontId="4" fillId="0" borderId="0" xfId="49" applyFont="1"/>
    <xf numFmtId="0" fontId="27" fillId="0" borderId="0" xfId="49" applyFont="1" applyFill="1"/>
    <xf numFmtId="0" fontId="3" fillId="0" borderId="0" xfId="49" quotePrefix="1" applyFont="1"/>
    <xf numFmtId="0" fontId="35" fillId="0" borderId="0" xfId="49" applyFont="1"/>
    <xf numFmtId="164" fontId="0" fillId="35" borderId="0" xfId="0" applyNumberFormat="1" applyFill="1"/>
    <xf numFmtId="14" fontId="6" fillId="0" borderId="0" xfId="49" applyNumberFormat="1" applyFont="1"/>
    <xf numFmtId="0" fontId="34" fillId="35" borderId="10" xfId="0" applyFont="1" applyFill="1" applyBorder="1" applyAlignment="1" applyProtection="1">
      <alignment horizontal="center"/>
      <protection locked="0"/>
    </xf>
    <xf numFmtId="0" fontId="31" fillId="0" borderId="0" xfId="0" applyFont="1"/>
    <xf numFmtId="0" fontId="8" fillId="36" borderId="13" xfId="49" applyFont="1" applyFill="1" applyBorder="1" applyAlignment="1">
      <alignment horizontal="center"/>
    </xf>
    <xf numFmtId="0" fontId="29" fillId="36" borderId="14" xfId="0" applyFont="1" applyFill="1" applyBorder="1" applyAlignment="1">
      <alignment horizontal="center"/>
    </xf>
    <xf numFmtId="0" fontId="8" fillId="36" borderId="15" xfId="49" applyFont="1" applyFill="1" applyBorder="1"/>
    <xf numFmtId="0" fontId="30" fillId="0" borderId="0" xfId="0" applyFont="1" applyFill="1" applyBorder="1"/>
    <xf numFmtId="0" fontId="28" fillId="0" borderId="0" xfId="0" applyFont="1" applyFill="1" applyBorder="1" applyAlignment="1">
      <alignment horizontal="left"/>
    </xf>
    <xf numFmtId="0" fontId="8" fillId="36" borderId="15" xfId="49" applyFont="1" applyFill="1" applyBorder="1" applyAlignment="1">
      <alignment horizontal="center"/>
    </xf>
    <xf numFmtId="0" fontId="29" fillId="36" borderId="16" xfId="0" applyFont="1" applyFill="1" applyBorder="1" applyAlignment="1">
      <alignment horizontal="center"/>
    </xf>
    <xf numFmtId="0" fontId="34" fillId="35" borderId="12" xfId="0" applyFont="1" applyFill="1" applyBorder="1" applyAlignment="1" applyProtection="1">
      <alignment horizontal="center"/>
      <protection locked="0"/>
    </xf>
    <xf numFmtId="0" fontId="28" fillId="0" borderId="0" xfId="0" applyFont="1" applyFill="1" applyBorder="1" applyAlignment="1">
      <alignment horizontal="center"/>
    </xf>
  </cellXfs>
  <cellStyles count="54">
    <cellStyle name="Accent1" xfId="1" builtinId="29" customBuiltin="1"/>
    <cellStyle name="Accent2" xfId="5" builtinId="33" customBuiltin="1"/>
    <cellStyle name="Accent3" xfId="9" builtinId="37" customBuiltin="1"/>
    <cellStyle name="Accent4" xfId="13" builtinId="41" customBuiltin="1"/>
    <cellStyle name="Accent5" xfId="17" builtinId="45" customBuiltin="1"/>
    <cellStyle name="Accent6" xfId="21" builtinId="49" customBuiltin="1"/>
    <cellStyle name="Akzent1 - 20%" xfId="2" xr:uid="{00000000-0005-0000-0000-000001000000}"/>
    <cellStyle name="Akzent1 - 40%" xfId="3" xr:uid="{00000000-0005-0000-0000-000002000000}"/>
    <cellStyle name="Akzent1 - 60%" xfId="4" xr:uid="{00000000-0005-0000-0000-000003000000}"/>
    <cellStyle name="Akzent2 - 20%" xfId="6" xr:uid="{00000000-0005-0000-0000-000005000000}"/>
    <cellStyle name="Akzent2 - 40%" xfId="7" xr:uid="{00000000-0005-0000-0000-000006000000}"/>
    <cellStyle name="Akzent2 - 60%" xfId="8" xr:uid="{00000000-0005-0000-0000-000007000000}"/>
    <cellStyle name="Akzent3 - 20%" xfId="10" xr:uid="{00000000-0005-0000-0000-000009000000}"/>
    <cellStyle name="Akzent3 - 40%" xfId="11" xr:uid="{00000000-0005-0000-0000-00000A000000}"/>
    <cellStyle name="Akzent3 - 60%" xfId="12" xr:uid="{00000000-0005-0000-0000-00000B000000}"/>
    <cellStyle name="Akzent4 - 20%" xfId="14" xr:uid="{00000000-0005-0000-0000-00000D000000}"/>
    <cellStyle name="Akzent4 - 40%" xfId="15" xr:uid="{00000000-0005-0000-0000-00000E000000}"/>
    <cellStyle name="Akzent4 - 60%" xfId="16" xr:uid="{00000000-0005-0000-0000-00000F000000}"/>
    <cellStyle name="Akzent5 - 20%" xfId="18" xr:uid="{00000000-0005-0000-0000-000011000000}"/>
    <cellStyle name="Akzent5 - 40%" xfId="19" xr:uid="{00000000-0005-0000-0000-000012000000}"/>
    <cellStyle name="Akzent5 - 60%" xfId="20" xr:uid="{00000000-0005-0000-0000-000013000000}"/>
    <cellStyle name="Akzent6 - 20%" xfId="22" xr:uid="{00000000-0005-0000-0000-000015000000}"/>
    <cellStyle name="Akzent6 - 40%" xfId="23" xr:uid="{00000000-0005-0000-0000-000016000000}"/>
    <cellStyle name="Akzent6 - 60%" xfId="24" xr:uid="{00000000-0005-0000-0000-000017000000}"/>
    <cellStyle name="Bad" xfId="36" builtinId="27" customBuiltin="1"/>
    <cellStyle name="Blattüberschrift" xfId="27" xr:uid="{00000000-0005-0000-0000-00001A000000}"/>
    <cellStyle name="Calculation" xfId="26" builtinId="22" customBuiltin="1"/>
    <cellStyle name="Euro" xfId="47" xr:uid="{00000000-0005-0000-0000-00001D000000}"/>
    <cellStyle name="Good" xfId="30" builtinId="26" customBuiltin="1"/>
    <cellStyle name="Heading 1" xfId="37" builtinId="16" customBuiltin="1"/>
    <cellStyle name="Heading 2" xfId="38" builtinId="17" customBuiltin="1"/>
    <cellStyle name="Heading 3" xfId="39" builtinId="18" customBuiltin="1"/>
    <cellStyle name="Heading 4" xfId="40" builtinId="19" customBuiltin="1"/>
    <cellStyle name="Hervorhebung 1" xfId="31" xr:uid="{00000000-0005-0000-0000-00001F000000}"/>
    <cellStyle name="Hervorhebung 2" xfId="32" xr:uid="{00000000-0005-0000-0000-000020000000}"/>
    <cellStyle name="Hervorhebung 3" xfId="33" xr:uid="{00000000-0005-0000-0000-000021000000}"/>
    <cellStyle name="Input" xfId="28" builtinId="20" customBuiltin="1"/>
    <cellStyle name="Linked Cell" xfId="41" builtinId="24" customBuiltin="1"/>
    <cellStyle name="Neutral" xfId="34" builtinId="28" customBuiltin="1"/>
    <cellStyle name="Normal" xfId="0" builtinId="0"/>
    <cellStyle name="Note" xfId="35" builtinId="10" customBuiltin="1"/>
    <cellStyle name="Output" xfId="25" builtinId="21" customBuiltin="1"/>
    <cellStyle name="Prozent 2" xfId="45" xr:uid="{00000000-0005-0000-0000-000025000000}"/>
    <cellStyle name="Prozent 2 2" xfId="51" xr:uid="{00000000-0005-0000-0000-000026000000}"/>
    <cellStyle name="Prozent 3" xfId="50" xr:uid="{00000000-0005-0000-0000-000027000000}"/>
    <cellStyle name="Standard 2" xfId="44" xr:uid="{00000000-0005-0000-0000-00002A000000}"/>
    <cellStyle name="Standard 2 2" xfId="49" xr:uid="{00000000-0005-0000-0000-00002B000000}"/>
    <cellStyle name="Standard 3" xfId="46" xr:uid="{00000000-0005-0000-0000-00002C000000}"/>
    <cellStyle name="Standard 4" xfId="48" xr:uid="{00000000-0005-0000-0000-00002D000000}"/>
    <cellStyle name="Standard 5" xfId="52" xr:uid="{00000000-0005-0000-0000-00002E000000}"/>
    <cellStyle name="Standard 6" xfId="53" xr:uid="{00000000-0005-0000-0000-00002F000000}"/>
    <cellStyle name="Total" xfId="29" builtinId="25" customBuiltin="1"/>
    <cellStyle name="Warning Text" xfId="42" builtinId="11" customBuiltin="1"/>
    <cellStyle name="Zelle prüfen" xfId="43" xr:uid="{00000000-0005-0000-0000-000036000000}"/>
  </cellStyles>
  <dxfs count="0"/>
  <tableStyles count="0" defaultTableStyle="TableStyleMedium9" defaultPivotStyle="PivotStyleLight16"/>
  <colors>
    <mruColors>
      <color rgb="FFFFFF99"/>
      <color rgb="FFFFFFCC"/>
      <color rgb="FF7DF977"/>
      <color rgb="FFBCFF9B"/>
      <color rgb="FF3366CC"/>
      <color rgb="FF0066CC"/>
      <color rgb="FF6263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Buchdaten\Matrixfunktionen%20Beispie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RESSE() 1"/>
      <sheetName val="ADRESSE() 2"/>
      <sheetName val="Projektkosten Stichtag"/>
      <sheetName val="BEREICH.VERSCHIEBEN()"/>
      <sheetName val="Abos"/>
      <sheetName val="Jahresbericht"/>
      <sheetName val="HYP"/>
      <sheetName val="HYPERLINK() 2"/>
      <sheetName val="Internet-Linkliste"/>
      <sheetName val="VERGLEICH()"/>
      <sheetName val="INDEX()"/>
      <sheetName val="Angebote"/>
      <sheetName val="Kunden"/>
      <sheetName val="SVERWEIS()"/>
      <sheetName val="Kalender"/>
      <sheetName val="Kostenbuchung"/>
      <sheetName val="Verweistipps"/>
      <sheetName val="VERWEIS()"/>
      <sheetName val="WVERWEIS()"/>
      <sheetName val="SVERWEIS Provisionen"/>
      <sheetName val="SVERWEIS() und WENNFEHLER()"/>
      <sheetName val="MTRANS()"/>
      <sheetName val="Rechnung"/>
      <sheetName val="PivotUmsatz"/>
      <sheetName val="Wochenmarkt"/>
      <sheetName val="WAHL() 2"/>
      <sheetName val="WAHL()"/>
      <sheetName val="INDIREKT()"/>
      <sheetName val="INDIREKT() 2"/>
      <sheetName val="Afrika"/>
      <sheetName val="EMEA"/>
      <sheetName val="USA-Nord"/>
      <sheetName val="B.V() Bereichsnamen"/>
    </sheetNames>
    <sheetDataSet>
      <sheetData sheetId="0"/>
      <sheetData sheetId="1"/>
      <sheetData sheetId="2">
        <row r="1">
          <cell r="G1" t="str">
            <v>Januar</v>
          </cell>
        </row>
      </sheetData>
      <sheetData sheetId="3"/>
      <sheetData sheetId="4">
        <row r="1">
          <cell r="A1" t="str">
            <v>Entwicklung Zeitschriften-Abos</v>
          </cell>
        </row>
        <row r="5">
          <cell r="A5" t="str">
            <v>Monat</v>
          </cell>
        </row>
        <row r="6">
          <cell r="A6" t="str">
            <v>Januar</v>
          </cell>
          <cell r="B6">
            <v>2300</v>
          </cell>
          <cell r="C6">
            <v>1900</v>
          </cell>
        </row>
        <row r="7">
          <cell r="A7" t="str">
            <v>Februar</v>
          </cell>
        </row>
        <row r="8">
          <cell r="A8" t="str">
            <v>März</v>
          </cell>
        </row>
        <row r="9">
          <cell r="A9" t="str">
            <v>April</v>
          </cell>
        </row>
        <row r="10">
          <cell r="A10" t="str">
            <v>Mai</v>
          </cell>
        </row>
        <row r="11">
          <cell r="A11" t="str">
            <v>Juni</v>
          </cell>
        </row>
        <row r="12">
          <cell r="A12" t="str">
            <v>Juli</v>
          </cell>
        </row>
      </sheetData>
      <sheetData sheetId="5">
        <row r="1">
          <cell r="A1" t="str">
            <v>Umsatz Gartencenter:</v>
          </cell>
        </row>
      </sheetData>
      <sheetData sheetId="6"/>
      <sheetData sheetId="7"/>
      <sheetData sheetId="8"/>
      <sheetData sheetId="9"/>
      <sheetData sheetId="10"/>
      <sheetData sheetId="11">
        <row r="2">
          <cell r="D2">
            <v>6</v>
          </cell>
        </row>
      </sheetData>
      <sheetData sheetId="12"/>
      <sheetData sheetId="13"/>
      <sheetData sheetId="14"/>
      <sheetData sheetId="15"/>
      <sheetData sheetId="16">
        <row r="2">
          <cell r="A2" t="str">
            <v>Land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1">
          <cell r="A1" t="str">
            <v>Artikel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B321"/>
  <sheetViews>
    <sheetView showGridLines="0" zoomScale="85" zoomScaleNormal="85" workbookViewId="0">
      <selection activeCell="A23" sqref="A23"/>
    </sheetView>
  </sheetViews>
  <sheetFormatPr defaultColWidth="10" defaultRowHeight="15" customHeight="1" x14ac:dyDescent="0.35"/>
  <cols>
    <col min="1" max="1" width="46.25" style="1" bestFit="1" customWidth="1"/>
    <col min="2" max="2" width="51.83203125" style="2" bestFit="1" customWidth="1"/>
    <col min="3" max="16384" width="10" style="1"/>
  </cols>
  <sheetData>
    <row r="1" spans="1:2" s="17" customFormat="1" ht="14.5" x14ac:dyDescent="0.35">
      <c r="A1" s="21" t="s">
        <v>27</v>
      </c>
      <c r="B1" s="21" t="s">
        <v>28</v>
      </c>
    </row>
    <row r="2" spans="1:2" ht="14.5" x14ac:dyDescent="0.35">
      <c r="A2" s="21" t="s">
        <v>29</v>
      </c>
      <c r="B2" s="21" t="s">
        <v>30</v>
      </c>
    </row>
    <row r="3" spans="1:2" ht="14.5" x14ac:dyDescent="0.35">
      <c r="A3" s="21" t="s">
        <v>31</v>
      </c>
      <c r="B3" s="21" t="s">
        <v>32</v>
      </c>
    </row>
    <row r="4" spans="1:2" ht="14.5" x14ac:dyDescent="0.35">
      <c r="A4" s="21" t="s">
        <v>662</v>
      </c>
      <c r="B4" s="21" t="s">
        <v>663</v>
      </c>
    </row>
    <row r="5" spans="1:2" ht="14.5" x14ac:dyDescent="0.35">
      <c r="A5" s="21" t="s">
        <v>33</v>
      </c>
      <c r="B5" s="21" t="s">
        <v>34</v>
      </c>
    </row>
    <row r="6" spans="1:2" ht="14.5" x14ac:dyDescent="0.35">
      <c r="A6" s="21" t="s">
        <v>35</v>
      </c>
      <c r="B6" s="21" t="s">
        <v>36</v>
      </c>
    </row>
    <row r="7" spans="1:2" ht="14.5" x14ac:dyDescent="0.35">
      <c r="A7" s="21" t="s">
        <v>37</v>
      </c>
      <c r="B7" s="21" t="s">
        <v>38</v>
      </c>
    </row>
    <row r="8" spans="1:2" ht="14.5" x14ac:dyDescent="0.35">
      <c r="A8" s="21" t="s">
        <v>39</v>
      </c>
      <c r="B8" s="21" t="s">
        <v>40</v>
      </c>
    </row>
    <row r="9" spans="1:2" ht="14.5" x14ac:dyDescent="0.35">
      <c r="A9" s="21" t="s">
        <v>41</v>
      </c>
      <c r="B9" s="21" t="s">
        <v>42</v>
      </c>
    </row>
    <row r="10" spans="1:2" ht="14.5" x14ac:dyDescent="0.35">
      <c r="A10" s="21" t="s">
        <v>43</v>
      </c>
      <c r="B10" s="21" t="s">
        <v>44</v>
      </c>
    </row>
    <row r="11" spans="1:2" ht="14.5" x14ac:dyDescent="0.35">
      <c r="A11" s="21" t="s">
        <v>45</v>
      </c>
      <c r="B11" s="21" t="s">
        <v>46</v>
      </c>
    </row>
    <row r="12" spans="1:2" ht="14.5" x14ac:dyDescent="0.35">
      <c r="A12" s="21" t="s">
        <v>47</v>
      </c>
      <c r="B12" s="21" t="s">
        <v>48</v>
      </c>
    </row>
    <row r="13" spans="1:2" ht="14.5" x14ac:dyDescent="0.35">
      <c r="A13" s="21" t="s">
        <v>626</v>
      </c>
      <c r="B13" s="21" t="s">
        <v>627</v>
      </c>
    </row>
    <row r="14" spans="1:2" ht="14.5" x14ac:dyDescent="0.35">
      <c r="A14" s="21" t="s">
        <v>49</v>
      </c>
      <c r="B14" s="21" t="s">
        <v>50</v>
      </c>
    </row>
    <row r="15" spans="1:2" ht="14.5" x14ac:dyDescent="0.35">
      <c r="A15" s="21" t="s">
        <v>51</v>
      </c>
      <c r="B15" s="21" t="s">
        <v>52</v>
      </c>
    </row>
    <row r="16" spans="1:2" ht="14.5" x14ac:dyDescent="0.35">
      <c r="A16" s="21" t="s">
        <v>53</v>
      </c>
      <c r="B16" s="21" t="s">
        <v>54</v>
      </c>
    </row>
    <row r="17" spans="1:2" ht="14.5" x14ac:dyDescent="0.35">
      <c r="A17" s="21" t="s">
        <v>55</v>
      </c>
      <c r="B17" s="21" t="s">
        <v>56</v>
      </c>
    </row>
    <row r="18" spans="1:2" ht="14.5" x14ac:dyDescent="0.35">
      <c r="A18" s="21" t="s">
        <v>57</v>
      </c>
      <c r="B18" s="21" t="s">
        <v>58</v>
      </c>
    </row>
    <row r="19" spans="1:2" ht="14.5" x14ac:dyDescent="0.35">
      <c r="A19" s="21" t="s">
        <v>59</v>
      </c>
      <c r="B19" s="21" t="s">
        <v>60</v>
      </c>
    </row>
    <row r="20" spans="1:2" ht="14.5" x14ac:dyDescent="0.35">
      <c r="A20" s="21" t="s">
        <v>61</v>
      </c>
      <c r="B20" s="21" t="s">
        <v>62</v>
      </c>
    </row>
    <row r="21" spans="1:2" ht="14.5" x14ac:dyDescent="0.35">
      <c r="A21" s="21" t="s">
        <v>63</v>
      </c>
      <c r="B21" s="21" t="s">
        <v>64</v>
      </c>
    </row>
    <row r="22" spans="1:2" ht="14.5" x14ac:dyDescent="0.35">
      <c r="A22" s="21" t="s">
        <v>65</v>
      </c>
      <c r="B22" s="21" t="s">
        <v>66</v>
      </c>
    </row>
    <row r="23" spans="1:2" ht="14.5" x14ac:dyDescent="0.35">
      <c r="A23" s="21" t="s">
        <v>67</v>
      </c>
      <c r="B23" s="21" t="s">
        <v>68</v>
      </c>
    </row>
    <row r="24" spans="1:2" ht="14.5" x14ac:dyDescent="0.35">
      <c r="A24" s="21" t="s">
        <v>69</v>
      </c>
      <c r="B24" s="21" t="s">
        <v>70</v>
      </c>
    </row>
    <row r="25" spans="1:2" ht="14.5" x14ac:dyDescent="0.35">
      <c r="A25" s="21" t="s">
        <v>71</v>
      </c>
      <c r="B25" s="21" t="s">
        <v>72</v>
      </c>
    </row>
    <row r="26" spans="1:2" ht="14.5" x14ac:dyDescent="0.35">
      <c r="A26" s="21" t="s">
        <v>73</v>
      </c>
      <c r="B26" s="21" t="s">
        <v>74</v>
      </c>
    </row>
    <row r="27" spans="1:2" ht="14.5" x14ac:dyDescent="0.35">
      <c r="A27" s="21" t="s">
        <v>75</v>
      </c>
      <c r="B27" s="21" t="s">
        <v>76</v>
      </c>
    </row>
    <row r="28" spans="1:2" ht="14.5" x14ac:dyDescent="0.35">
      <c r="A28" s="21" t="s">
        <v>77</v>
      </c>
      <c r="B28" s="21" t="s">
        <v>78</v>
      </c>
    </row>
    <row r="29" spans="1:2" ht="14.5" x14ac:dyDescent="0.35">
      <c r="A29" s="21" t="s">
        <v>79</v>
      </c>
      <c r="B29" s="21" t="s">
        <v>80</v>
      </c>
    </row>
    <row r="30" spans="1:2" ht="14.5" x14ac:dyDescent="0.35">
      <c r="A30" s="21" t="s">
        <v>81</v>
      </c>
      <c r="B30" s="21" t="s">
        <v>82</v>
      </c>
    </row>
    <row r="31" spans="1:2" ht="14.5" x14ac:dyDescent="0.35">
      <c r="A31" s="21" t="s">
        <v>83</v>
      </c>
      <c r="B31" s="21" t="s">
        <v>84</v>
      </c>
    </row>
    <row r="32" spans="1:2" ht="14.5" x14ac:dyDescent="0.35">
      <c r="A32" s="21" t="s">
        <v>85</v>
      </c>
      <c r="B32" s="21" t="s">
        <v>86</v>
      </c>
    </row>
    <row r="33" spans="1:2" ht="14.5" x14ac:dyDescent="0.35">
      <c r="A33" s="21" t="s">
        <v>87</v>
      </c>
      <c r="B33" s="21" t="s">
        <v>88</v>
      </c>
    </row>
    <row r="34" spans="1:2" ht="14.5" x14ac:dyDescent="0.35">
      <c r="A34" s="21" t="s">
        <v>89</v>
      </c>
      <c r="B34" s="21" t="s">
        <v>90</v>
      </c>
    </row>
    <row r="35" spans="1:2" ht="14.5" x14ac:dyDescent="0.35">
      <c r="A35" s="21" t="s">
        <v>91</v>
      </c>
      <c r="B35" s="21" t="s">
        <v>92</v>
      </c>
    </row>
    <row r="36" spans="1:2" ht="14.5" x14ac:dyDescent="0.35">
      <c r="A36" s="21" t="s">
        <v>93</v>
      </c>
      <c r="B36" s="21" t="s">
        <v>94</v>
      </c>
    </row>
    <row r="37" spans="1:2" ht="14.5" x14ac:dyDescent="0.35">
      <c r="A37" s="21" t="s">
        <v>95</v>
      </c>
      <c r="B37" s="21" t="s">
        <v>96</v>
      </c>
    </row>
    <row r="38" spans="1:2" ht="14.5" x14ac:dyDescent="0.35">
      <c r="A38" s="21" t="s">
        <v>97</v>
      </c>
      <c r="B38" s="21" t="s">
        <v>98</v>
      </c>
    </row>
    <row r="39" spans="1:2" ht="14.5" x14ac:dyDescent="0.35">
      <c r="A39" s="21" t="s">
        <v>99</v>
      </c>
      <c r="B39" s="21" t="s">
        <v>100</v>
      </c>
    </row>
    <row r="40" spans="1:2" ht="14.5" x14ac:dyDescent="0.35">
      <c r="A40" s="21" t="s">
        <v>101</v>
      </c>
      <c r="B40" s="21" t="s">
        <v>102</v>
      </c>
    </row>
    <row r="41" spans="1:2" ht="14.5" x14ac:dyDescent="0.35">
      <c r="A41" s="21" t="s">
        <v>103</v>
      </c>
      <c r="B41" s="21" t="s">
        <v>104</v>
      </c>
    </row>
    <row r="42" spans="1:2" ht="14.5" x14ac:dyDescent="0.35">
      <c r="A42" s="21" t="s">
        <v>105</v>
      </c>
      <c r="B42" s="21" t="s">
        <v>106</v>
      </c>
    </row>
    <row r="43" spans="1:2" ht="14.5" x14ac:dyDescent="0.35">
      <c r="A43" s="21" t="s">
        <v>107</v>
      </c>
      <c r="B43" s="21" t="s">
        <v>108</v>
      </c>
    </row>
    <row r="44" spans="1:2" ht="14.5" x14ac:dyDescent="0.35">
      <c r="A44" s="21" t="s">
        <v>109</v>
      </c>
      <c r="B44" s="21" t="s">
        <v>110</v>
      </c>
    </row>
    <row r="45" spans="1:2" ht="14.5" x14ac:dyDescent="0.35">
      <c r="A45" s="21" t="s">
        <v>111</v>
      </c>
      <c r="B45" s="21" t="s">
        <v>112</v>
      </c>
    </row>
    <row r="46" spans="1:2" ht="14.5" x14ac:dyDescent="0.35">
      <c r="A46" s="21" t="s">
        <v>628</v>
      </c>
      <c r="B46" s="21" t="s">
        <v>629</v>
      </c>
    </row>
    <row r="47" spans="1:2" ht="14.5" x14ac:dyDescent="0.35">
      <c r="A47" s="21" t="s">
        <v>113</v>
      </c>
      <c r="B47" s="21" t="s">
        <v>114</v>
      </c>
    </row>
    <row r="48" spans="1:2" ht="14.5" x14ac:dyDescent="0.35">
      <c r="A48" s="21" t="s">
        <v>115</v>
      </c>
      <c r="B48" s="21" t="s">
        <v>116</v>
      </c>
    </row>
    <row r="49" spans="1:2" ht="14.5" x14ac:dyDescent="0.35">
      <c r="A49" s="21" t="s">
        <v>117</v>
      </c>
      <c r="B49" s="21" t="s">
        <v>118</v>
      </c>
    </row>
    <row r="50" spans="1:2" ht="14.5" x14ac:dyDescent="0.35">
      <c r="A50" s="21" t="s">
        <v>119</v>
      </c>
      <c r="B50" s="21" t="s">
        <v>120</v>
      </c>
    </row>
    <row r="51" spans="1:2" ht="14.5" x14ac:dyDescent="0.35">
      <c r="A51" s="21" t="s">
        <v>121</v>
      </c>
      <c r="B51" s="21" t="s">
        <v>122</v>
      </c>
    </row>
    <row r="52" spans="1:2" ht="14.5" x14ac:dyDescent="0.35">
      <c r="A52" s="21" t="s">
        <v>636</v>
      </c>
      <c r="B52" s="21" t="s">
        <v>637</v>
      </c>
    </row>
    <row r="53" spans="1:2" ht="14.5" x14ac:dyDescent="0.35">
      <c r="A53" s="21" t="s">
        <v>123</v>
      </c>
      <c r="B53" s="21" t="s">
        <v>124</v>
      </c>
    </row>
    <row r="54" spans="1:2" ht="14.5" x14ac:dyDescent="0.35">
      <c r="A54" s="21" t="s">
        <v>125</v>
      </c>
      <c r="B54" s="21" t="s">
        <v>126</v>
      </c>
    </row>
    <row r="55" spans="1:2" ht="14.5" x14ac:dyDescent="0.35">
      <c r="A55" s="21" t="s">
        <v>127</v>
      </c>
      <c r="B55" s="21" t="s">
        <v>128</v>
      </c>
    </row>
    <row r="56" spans="1:2" ht="14.5" x14ac:dyDescent="0.35">
      <c r="A56" s="21" t="s">
        <v>129</v>
      </c>
      <c r="B56" s="21" t="s">
        <v>130</v>
      </c>
    </row>
    <row r="57" spans="1:2" ht="14.5" x14ac:dyDescent="0.35">
      <c r="A57" s="21" t="s">
        <v>131</v>
      </c>
      <c r="B57" s="21" t="s">
        <v>132</v>
      </c>
    </row>
    <row r="58" spans="1:2" ht="14.5" x14ac:dyDescent="0.35">
      <c r="A58" s="21" t="s">
        <v>133</v>
      </c>
      <c r="B58" s="21" t="s">
        <v>134</v>
      </c>
    </row>
    <row r="59" spans="1:2" ht="14.5" x14ac:dyDescent="0.35">
      <c r="A59" s="21" t="s">
        <v>135</v>
      </c>
      <c r="B59" s="21" t="s">
        <v>136</v>
      </c>
    </row>
    <row r="60" spans="1:2" ht="14.5" x14ac:dyDescent="0.35">
      <c r="A60" s="21" t="s">
        <v>137</v>
      </c>
      <c r="B60" s="21" t="s">
        <v>138</v>
      </c>
    </row>
    <row r="61" spans="1:2" ht="14.5" x14ac:dyDescent="0.35">
      <c r="A61" s="21" t="s">
        <v>139</v>
      </c>
      <c r="B61" s="21" t="s">
        <v>140</v>
      </c>
    </row>
    <row r="62" spans="1:2" ht="14.5" x14ac:dyDescent="0.35">
      <c r="A62" s="21" t="s">
        <v>141</v>
      </c>
      <c r="B62" s="21" t="s">
        <v>142</v>
      </c>
    </row>
    <row r="63" spans="1:2" ht="14.5" x14ac:dyDescent="0.35">
      <c r="A63" s="21" t="s">
        <v>143</v>
      </c>
      <c r="B63" s="21" t="s">
        <v>144</v>
      </c>
    </row>
    <row r="64" spans="1:2" ht="14.5" x14ac:dyDescent="0.35">
      <c r="A64" s="21" t="s">
        <v>145</v>
      </c>
      <c r="B64" s="21" t="s">
        <v>146</v>
      </c>
    </row>
    <row r="65" spans="1:2" ht="14.5" x14ac:dyDescent="0.35">
      <c r="A65" s="21" t="s">
        <v>147</v>
      </c>
      <c r="B65" s="21" t="s">
        <v>148</v>
      </c>
    </row>
    <row r="66" spans="1:2" ht="14.5" x14ac:dyDescent="0.35">
      <c r="A66" s="21" t="s">
        <v>149</v>
      </c>
      <c r="B66" s="21" t="s">
        <v>150</v>
      </c>
    </row>
    <row r="67" spans="1:2" ht="14.5" x14ac:dyDescent="0.35">
      <c r="A67" s="21" t="s">
        <v>151</v>
      </c>
      <c r="B67" s="21" t="s">
        <v>152</v>
      </c>
    </row>
    <row r="68" spans="1:2" ht="14.5" x14ac:dyDescent="0.35">
      <c r="A68" s="21" t="s">
        <v>153</v>
      </c>
      <c r="B68" s="21" t="s">
        <v>154</v>
      </c>
    </row>
    <row r="69" spans="1:2" ht="14.5" x14ac:dyDescent="0.35">
      <c r="A69" s="21" t="s">
        <v>656</v>
      </c>
      <c r="B69" s="21" t="s">
        <v>657</v>
      </c>
    </row>
    <row r="70" spans="1:2" ht="14.5" x14ac:dyDescent="0.35">
      <c r="A70" s="21" t="s">
        <v>155</v>
      </c>
      <c r="B70" s="21" t="s">
        <v>156</v>
      </c>
    </row>
    <row r="71" spans="1:2" ht="14.5" x14ac:dyDescent="0.35">
      <c r="A71" s="21" t="s">
        <v>157</v>
      </c>
      <c r="B71" s="21" t="s">
        <v>158</v>
      </c>
    </row>
    <row r="72" spans="1:2" ht="14.5" x14ac:dyDescent="0.35">
      <c r="A72" s="21" t="s">
        <v>159</v>
      </c>
      <c r="B72" s="21" t="s">
        <v>160</v>
      </c>
    </row>
    <row r="73" spans="1:2" ht="14.5" x14ac:dyDescent="0.35">
      <c r="A73" s="21" t="s">
        <v>630</v>
      </c>
      <c r="B73" s="21" t="s">
        <v>631</v>
      </c>
    </row>
    <row r="74" spans="1:2" ht="14.5" x14ac:dyDescent="0.35">
      <c r="A74" s="21" t="s">
        <v>632</v>
      </c>
      <c r="B74" s="21" t="s">
        <v>633</v>
      </c>
    </row>
    <row r="75" spans="1:2" ht="14.5" x14ac:dyDescent="0.35">
      <c r="A75" s="21" t="s">
        <v>161</v>
      </c>
      <c r="B75" s="21" t="s">
        <v>162</v>
      </c>
    </row>
    <row r="76" spans="1:2" ht="14.5" x14ac:dyDescent="0.35">
      <c r="A76" s="21" t="s">
        <v>163</v>
      </c>
      <c r="B76" s="21" t="s">
        <v>164</v>
      </c>
    </row>
    <row r="77" spans="1:2" ht="14.5" x14ac:dyDescent="0.35">
      <c r="A77" s="21" t="s">
        <v>165</v>
      </c>
      <c r="B77" s="21" t="s">
        <v>166</v>
      </c>
    </row>
    <row r="78" spans="1:2" ht="14.5" x14ac:dyDescent="0.35">
      <c r="A78" s="21" t="s">
        <v>167</v>
      </c>
      <c r="B78" s="21" t="s">
        <v>168</v>
      </c>
    </row>
    <row r="79" spans="1:2" ht="14.5" x14ac:dyDescent="0.35">
      <c r="A79" s="21" t="s">
        <v>169</v>
      </c>
      <c r="B79" s="21" t="s">
        <v>170</v>
      </c>
    </row>
    <row r="80" spans="1:2" ht="14.5" x14ac:dyDescent="0.35">
      <c r="A80" s="21" t="s">
        <v>171</v>
      </c>
      <c r="B80" s="21" t="s">
        <v>172</v>
      </c>
    </row>
    <row r="81" spans="1:2" ht="14.5" x14ac:dyDescent="0.35">
      <c r="A81" s="21" t="s">
        <v>173</v>
      </c>
      <c r="B81" s="21" t="s">
        <v>174</v>
      </c>
    </row>
    <row r="82" spans="1:2" ht="14.5" x14ac:dyDescent="0.35">
      <c r="A82" s="21" t="s">
        <v>660</v>
      </c>
      <c r="B82" s="21" t="s">
        <v>661</v>
      </c>
    </row>
    <row r="83" spans="1:2" ht="14.5" x14ac:dyDescent="0.35">
      <c r="A83" s="21" t="s">
        <v>175</v>
      </c>
      <c r="B83" s="21" t="s">
        <v>176</v>
      </c>
    </row>
    <row r="84" spans="1:2" ht="14.5" x14ac:dyDescent="0.35">
      <c r="A84" s="21" t="s">
        <v>177</v>
      </c>
      <c r="B84" s="21" t="s">
        <v>178</v>
      </c>
    </row>
    <row r="85" spans="1:2" ht="14.5" x14ac:dyDescent="0.35">
      <c r="A85" s="21" t="s">
        <v>179</v>
      </c>
      <c r="B85" s="21" t="s">
        <v>180</v>
      </c>
    </row>
    <row r="86" spans="1:2" ht="14.5" x14ac:dyDescent="0.35">
      <c r="A86" s="21" t="s">
        <v>181</v>
      </c>
      <c r="B86" s="21" t="s">
        <v>182</v>
      </c>
    </row>
    <row r="87" spans="1:2" ht="14.5" x14ac:dyDescent="0.35">
      <c r="A87" s="21" t="s">
        <v>183</v>
      </c>
      <c r="B87" s="21" t="s">
        <v>184</v>
      </c>
    </row>
    <row r="88" spans="1:2" ht="14.5" x14ac:dyDescent="0.35">
      <c r="A88" s="21" t="s">
        <v>185</v>
      </c>
      <c r="B88" s="21" t="s">
        <v>184</v>
      </c>
    </row>
    <row r="89" spans="1:2" ht="14.5" x14ac:dyDescent="0.35">
      <c r="A89" s="21" t="s">
        <v>186</v>
      </c>
      <c r="B89" s="21" t="s">
        <v>187</v>
      </c>
    </row>
    <row r="90" spans="1:2" ht="14.5" x14ac:dyDescent="0.35">
      <c r="A90" s="21" t="s">
        <v>188</v>
      </c>
      <c r="B90" s="21" t="s">
        <v>189</v>
      </c>
    </row>
    <row r="91" spans="1:2" ht="14.5" x14ac:dyDescent="0.35">
      <c r="A91" s="21" t="s">
        <v>190</v>
      </c>
      <c r="B91" s="21" t="s">
        <v>191</v>
      </c>
    </row>
    <row r="92" spans="1:2" ht="14.5" x14ac:dyDescent="0.35">
      <c r="A92" s="21" t="s">
        <v>638</v>
      </c>
      <c r="B92" s="21" t="s">
        <v>639</v>
      </c>
    </row>
    <row r="93" spans="1:2" ht="14.5" x14ac:dyDescent="0.35">
      <c r="A93" s="21" t="s">
        <v>192</v>
      </c>
      <c r="B93" s="21" t="s">
        <v>193</v>
      </c>
    </row>
    <row r="94" spans="1:2" ht="14.5" x14ac:dyDescent="0.35">
      <c r="A94" s="21" t="s">
        <v>194</v>
      </c>
      <c r="B94" s="21" t="s">
        <v>195</v>
      </c>
    </row>
    <row r="95" spans="1:2" ht="14.5" x14ac:dyDescent="0.35">
      <c r="A95" s="21" t="s">
        <v>196</v>
      </c>
      <c r="B95" s="21" t="s">
        <v>197</v>
      </c>
    </row>
    <row r="96" spans="1:2" ht="14.5" x14ac:dyDescent="0.35">
      <c r="A96" s="21" t="s">
        <v>642</v>
      </c>
      <c r="B96" s="21" t="s">
        <v>643</v>
      </c>
    </row>
    <row r="97" spans="1:2" ht="14.5" x14ac:dyDescent="0.35">
      <c r="A97" s="21" t="s">
        <v>198</v>
      </c>
      <c r="B97" s="21" t="s">
        <v>199</v>
      </c>
    </row>
    <row r="98" spans="1:2" ht="14.5" x14ac:dyDescent="0.35">
      <c r="A98" s="21" t="s">
        <v>640</v>
      </c>
      <c r="B98" s="21" t="s">
        <v>641</v>
      </c>
    </row>
    <row r="99" spans="1:2" ht="14.5" x14ac:dyDescent="0.35">
      <c r="A99" s="21" t="s">
        <v>200</v>
      </c>
      <c r="B99" s="21" t="s">
        <v>201</v>
      </c>
    </row>
    <row r="100" spans="1:2" ht="14.5" x14ac:dyDescent="0.35">
      <c r="A100" s="21" t="s">
        <v>202</v>
      </c>
      <c r="B100" s="21" t="s">
        <v>203</v>
      </c>
    </row>
    <row r="101" spans="1:2" ht="14.5" x14ac:dyDescent="0.35">
      <c r="A101" s="21" t="s">
        <v>204</v>
      </c>
      <c r="B101" s="21" t="s">
        <v>205</v>
      </c>
    </row>
    <row r="102" spans="1:2" ht="14.5" x14ac:dyDescent="0.35">
      <c r="A102" s="21" t="s">
        <v>206</v>
      </c>
      <c r="B102" s="21" t="s">
        <v>207</v>
      </c>
    </row>
    <row r="103" spans="1:2" ht="14.5" x14ac:dyDescent="0.35">
      <c r="A103" s="21" t="s">
        <v>208</v>
      </c>
      <c r="B103" s="21" t="s">
        <v>209</v>
      </c>
    </row>
    <row r="104" spans="1:2" ht="14.5" x14ac:dyDescent="0.35">
      <c r="A104" s="21" t="s">
        <v>210</v>
      </c>
      <c r="B104" s="21" t="s">
        <v>211</v>
      </c>
    </row>
    <row r="105" spans="1:2" ht="14.5" x14ac:dyDescent="0.35">
      <c r="A105" s="21" t="s">
        <v>212</v>
      </c>
      <c r="B105" s="21" t="s">
        <v>213</v>
      </c>
    </row>
    <row r="106" spans="1:2" ht="14.5" x14ac:dyDescent="0.35">
      <c r="A106" s="21" t="s">
        <v>214</v>
      </c>
      <c r="B106" s="21" t="s">
        <v>215</v>
      </c>
    </row>
    <row r="107" spans="1:2" ht="14.5" x14ac:dyDescent="0.35">
      <c r="A107" s="21" t="s">
        <v>216</v>
      </c>
      <c r="B107" s="21" t="s">
        <v>217</v>
      </c>
    </row>
    <row r="108" spans="1:2" ht="14.5" x14ac:dyDescent="0.35">
      <c r="A108" s="21" t="s">
        <v>654</v>
      </c>
      <c r="B108" s="21" t="s">
        <v>655</v>
      </c>
    </row>
    <row r="109" spans="1:2" ht="14.5" x14ac:dyDescent="0.35">
      <c r="A109" s="21" t="s">
        <v>658</v>
      </c>
      <c r="B109" s="21" t="s">
        <v>659</v>
      </c>
    </row>
    <row r="110" spans="1:2" ht="14.5" x14ac:dyDescent="0.35">
      <c r="A110" s="21" t="s">
        <v>624</v>
      </c>
      <c r="B110" s="21" t="s">
        <v>625</v>
      </c>
    </row>
    <row r="111" spans="1:2" ht="14.5" x14ac:dyDescent="0.35">
      <c r="A111" s="21" t="s">
        <v>218</v>
      </c>
      <c r="B111" s="21" t="s">
        <v>219</v>
      </c>
    </row>
    <row r="112" spans="1:2" ht="14.5" x14ac:dyDescent="0.35">
      <c r="A112" s="21" t="s">
        <v>220</v>
      </c>
      <c r="B112" s="21" t="s">
        <v>221</v>
      </c>
    </row>
    <row r="113" spans="1:2" ht="14.5" x14ac:dyDescent="0.35">
      <c r="A113" s="21" t="s">
        <v>222</v>
      </c>
      <c r="B113" s="21" t="s">
        <v>223</v>
      </c>
    </row>
    <row r="114" spans="1:2" ht="14.5" x14ac:dyDescent="0.35">
      <c r="A114" s="21" t="s">
        <v>224</v>
      </c>
      <c r="B114" s="21" t="s">
        <v>225</v>
      </c>
    </row>
    <row r="115" spans="1:2" ht="14.5" x14ac:dyDescent="0.35">
      <c r="A115" s="21" t="s">
        <v>226</v>
      </c>
      <c r="B115" s="21" t="s">
        <v>227</v>
      </c>
    </row>
    <row r="116" spans="1:2" ht="14.5" x14ac:dyDescent="0.35">
      <c r="A116" s="21" t="s">
        <v>228</v>
      </c>
      <c r="B116" s="21" t="s">
        <v>229</v>
      </c>
    </row>
    <row r="117" spans="1:2" ht="14.5" x14ac:dyDescent="0.35">
      <c r="A117" s="21" t="s">
        <v>230</v>
      </c>
      <c r="B117" s="21" t="s">
        <v>231</v>
      </c>
    </row>
    <row r="118" spans="1:2" ht="14.5" x14ac:dyDescent="0.35">
      <c r="A118" s="21" t="s">
        <v>232</v>
      </c>
      <c r="B118" s="21" t="s">
        <v>233</v>
      </c>
    </row>
    <row r="119" spans="1:2" ht="14.5" x14ac:dyDescent="0.35">
      <c r="A119" s="21" t="s">
        <v>234</v>
      </c>
      <c r="B119" s="21" t="s">
        <v>235</v>
      </c>
    </row>
    <row r="120" spans="1:2" ht="14.5" x14ac:dyDescent="0.35">
      <c r="A120" s="21" t="s">
        <v>236</v>
      </c>
      <c r="B120" s="21" t="s">
        <v>237</v>
      </c>
    </row>
    <row r="121" spans="1:2" ht="14.5" x14ac:dyDescent="0.35">
      <c r="A121" s="21" t="s">
        <v>238</v>
      </c>
      <c r="B121" s="21" t="s">
        <v>237</v>
      </c>
    </row>
    <row r="122" spans="1:2" ht="14.5" x14ac:dyDescent="0.35">
      <c r="A122" s="21" t="s">
        <v>239</v>
      </c>
      <c r="B122" s="21" t="s">
        <v>240</v>
      </c>
    </row>
    <row r="123" spans="1:2" ht="14.5" x14ac:dyDescent="0.35">
      <c r="A123" s="21" t="s">
        <v>241</v>
      </c>
      <c r="B123" s="21" t="s">
        <v>242</v>
      </c>
    </row>
    <row r="124" spans="1:2" ht="14.5" x14ac:dyDescent="0.35">
      <c r="A124" s="21" t="s">
        <v>243</v>
      </c>
      <c r="B124" s="21" t="s">
        <v>244</v>
      </c>
    </row>
    <row r="125" spans="1:2" ht="14.5" x14ac:dyDescent="0.35">
      <c r="A125" s="21" t="s">
        <v>245</v>
      </c>
      <c r="B125" s="21" t="s">
        <v>246</v>
      </c>
    </row>
    <row r="126" spans="1:2" ht="14.5" x14ac:dyDescent="0.35">
      <c r="A126" s="21" t="s">
        <v>247</v>
      </c>
      <c r="B126" s="21" t="s">
        <v>248</v>
      </c>
    </row>
    <row r="127" spans="1:2" ht="14.5" x14ac:dyDescent="0.35">
      <c r="A127" s="21" t="s">
        <v>249</v>
      </c>
      <c r="B127" s="21" t="s">
        <v>250</v>
      </c>
    </row>
    <row r="128" spans="1:2" ht="14.5" x14ac:dyDescent="0.35">
      <c r="A128" s="21" t="s">
        <v>251</v>
      </c>
      <c r="B128" s="21" t="s">
        <v>252</v>
      </c>
    </row>
    <row r="129" spans="1:2" ht="14.5" x14ac:dyDescent="0.35">
      <c r="A129" s="21" t="s">
        <v>253</v>
      </c>
      <c r="B129" s="21" t="s">
        <v>254</v>
      </c>
    </row>
    <row r="130" spans="1:2" ht="14.5" x14ac:dyDescent="0.35">
      <c r="A130" s="21" t="s">
        <v>255</v>
      </c>
      <c r="B130" s="21" t="s">
        <v>256</v>
      </c>
    </row>
    <row r="131" spans="1:2" ht="14.5" x14ac:dyDescent="0.35">
      <c r="A131" s="21" t="s">
        <v>257</v>
      </c>
      <c r="B131" s="21" t="s">
        <v>258</v>
      </c>
    </row>
    <row r="132" spans="1:2" ht="14.5" x14ac:dyDescent="0.35">
      <c r="A132" s="21" t="s">
        <v>259</v>
      </c>
      <c r="B132" s="21" t="s">
        <v>258</v>
      </c>
    </row>
    <row r="133" spans="1:2" ht="14.5" x14ac:dyDescent="0.35">
      <c r="A133" s="21" t="s">
        <v>650</v>
      </c>
      <c r="B133" s="21" t="s">
        <v>651</v>
      </c>
    </row>
    <row r="134" spans="1:2" ht="14.5" x14ac:dyDescent="0.35">
      <c r="A134" s="21" t="s">
        <v>260</v>
      </c>
      <c r="B134" s="21" t="s">
        <v>261</v>
      </c>
    </row>
    <row r="135" spans="1:2" ht="14.5" x14ac:dyDescent="0.35">
      <c r="A135" s="21" t="s">
        <v>262</v>
      </c>
      <c r="B135" s="21" t="s">
        <v>263</v>
      </c>
    </row>
    <row r="136" spans="1:2" ht="14.5" x14ac:dyDescent="0.35">
      <c r="A136" s="21" t="s">
        <v>264</v>
      </c>
      <c r="B136" s="21" t="s">
        <v>265</v>
      </c>
    </row>
    <row r="137" spans="1:2" ht="14.5" x14ac:dyDescent="0.35">
      <c r="A137" s="21" t="s">
        <v>266</v>
      </c>
      <c r="B137" s="21" t="s">
        <v>267</v>
      </c>
    </row>
    <row r="138" spans="1:2" ht="14.5" x14ac:dyDescent="0.35">
      <c r="A138" s="21" t="s">
        <v>268</v>
      </c>
      <c r="B138" s="21" t="s">
        <v>269</v>
      </c>
    </row>
    <row r="139" spans="1:2" ht="14.5" x14ac:dyDescent="0.35">
      <c r="A139" s="21" t="s">
        <v>270</v>
      </c>
      <c r="B139" s="21" t="s">
        <v>271</v>
      </c>
    </row>
    <row r="140" spans="1:2" ht="14.5" x14ac:dyDescent="0.35">
      <c r="A140" s="21" t="s">
        <v>272</v>
      </c>
      <c r="B140" s="21" t="s">
        <v>273</v>
      </c>
    </row>
    <row r="141" spans="1:2" ht="14.5" x14ac:dyDescent="0.35">
      <c r="A141" s="21" t="s">
        <v>274</v>
      </c>
      <c r="B141" s="21" t="s">
        <v>275</v>
      </c>
    </row>
    <row r="142" spans="1:2" ht="14.5" x14ac:dyDescent="0.35">
      <c r="A142" s="21" t="s">
        <v>276</v>
      </c>
      <c r="B142" s="21" t="s">
        <v>277</v>
      </c>
    </row>
    <row r="143" spans="1:2" ht="14.5" x14ac:dyDescent="0.35">
      <c r="A143" s="21" t="s">
        <v>278</v>
      </c>
      <c r="B143" s="21" t="s">
        <v>279</v>
      </c>
    </row>
    <row r="144" spans="1:2" ht="14.5" x14ac:dyDescent="0.35">
      <c r="A144" s="21" t="s">
        <v>280</v>
      </c>
      <c r="B144" s="21" t="s">
        <v>281</v>
      </c>
    </row>
    <row r="145" spans="1:2" ht="14.5" x14ac:dyDescent="0.35">
      <c r="A145" s="21" t="s">
        <v>282</v>
      </c>
      <c r="B145" s="21" t="s">
        <v>283</v>
      </c>
    </row>
    <row r="146" spans="1:2" ht="14.5" x14ac:dyDescent="0.35">
      <c r="A146" s="21" t="s">
        <v>284</v>
      </c>
      <c r="B146" s="21" t="s">
        <v>285</v>
      </c>
    </row>
    <row r="147" spans="1:2" ht="14.5" x14ac:dyDescent="0.35">
      <c r="A147" s="21" t="s">
        <v>286</v>
      </c>
      <c r="B147" s="21" t="s">
        <v>287</v>
      </c>
    </row>
    <row r="148" spans="1:2" ht="14.5" x14ac:dyDescent="0.35">
      <c r="A148" s="21" t="s">
        <v>288</v>
      </c>
      <c r="B148" s="21" t="s">
        <v>289</v>
      </c>
    </row>
    <row r="149" spans="1:2" ht="14.5" x14ac:dyDescent="0.35">
      <c r="A149" s="21" t="s">
        <v>290</v>
      </c>
      <c r="B149" s="21" t="s">
        <v>291</v>
      </c>
    </row>
    <row r="150" spans="1:2" ht="14.5" x14ac:dyDescent="0.35">
      <c r="A150" s="21" t="s">
        <v>249</v>
      </c>
      <c r="B150" s="21" t="s">
        <v>292</v>
      </c>
    </row>
    <row r="151" spans="1:2" ht="14.5" x14ac:dyDescent="0.35">
      <c r="A151" s="21" t="s">
        <v>293</v>
      </c>
      <c r="B151" s="21" t="s">
        <v>294</v>
      </c>
    </row>
    <row r="152" spans="1:2" ht="14.5" x14ac:dyDescent="0.35">
      <c r="A152" s="21" t="s">
        <v>295</v>
      </c>
      <c r="B152" s="21" t="s">
        <v>296</v>
      </c>
    </row>
    <row r="153" spans="1:2" ht="14.5" x14ac:dyDescent="0.35">
      <c r="A153" s="21" t="s">
        <v>297</v>
      </c>
      <c r="B153" s="21" t="s">
        <v>298</v>
      </c>
    </row>
    <row r="154" spans="1:2" ht="14.5" x14ac:dyDescent="0.35">
      <c r="A154" s="21" t="s">
        <v>299</v>
      </c>
      <c r="B154" s="21" t="s">
        <v>300</v>
      </c>
    </row>
    <row r="155" spans="1:2" ht="14.5" x14ac:dyDescent="0.35">
      <c r="A155" s="21" t="s">
        <v>301</v>
      </c>
      <c r="B155" s="21" t="s">
        <v>302</v>
      </c>
    </row>
    <row r="156" spans="1:2" ht="14.5" x14ac:dyDescent="0.35">
      <c r="A156" s="21" t="s">
        <v>303</v>
      </c>
      <c r="B156" s="21" t="s">
        <v>304</v>
      </c>
    </row>
    <row r="157" spans="1:2" ht="14.5" x14ac:dyDescent="0.35">
      <c r="A157" s="21" t="s">
        <v>305</v>
      </c>
      <c r="B157" s="21" t="s">
        <v>306</v>
      </c>
    </row>
    <row r="158" spans="1:2" ht="14.5" x14ac:dyDescent="0.35">
      <c r="A158" s="21" t="s">
        <v>307</v>
      </c>
      <c r="B158" s="21" t="s">
        <v>308</v>
      </c>
    </row>
    <row r="159" spans="1:2" ht="14.5" x14ac:dyDescent="0.35">
      <c r="A159" s="21" t="s">
        <v>309</v>
      </c>
      <c r="B159" s="21" t="s">
        <v>310</v>
      </c>
    </row>
    <row r="160" spans="1:2" ht="14.5" x14ac:dyDescent="0.35">
      <c r="A160" s="21" t="s">
        <v>311</v>
      </c>
      <c r="B160" s="21" t="s">
        <v>312</v>
      </c>
    </row>
    <row r="161" spans="1:2" ht="14.5" x14ac:dyDescent="0.35">
      <c r="A161" s="21" t="s">
        <v>313</v>
      </c>
      <c r="B161" s="21" t="s">
        <v>314</v>
      </c>
    </row>
    <row r="162" spans="1:2" ht="14.5" x14ac:dyDescent="0.35">
      <c r="A162" s="21" t="s">
        <v>315</v>
      </c>
      <c r="B162" s="21" t="s">
        <v>316</v>
      </c>
    </row>
    <row r="163" spans="1:2" ht="14.5" x14ac:dyDescent="0.35">
      <c r="A163" s="21" t="s">
        <v>317</v>
      </c>
      <c r="B163" s="21" t="s">
        <v>318</v>
      </c>
    </row>
    <row r="164" spans="1:2" ht="14.5" x14ac:dyDescent="0.35">
      <c r="A164" s="21" t="s">
        <v>319</v>
      </c>
      <c r="B164" s="21" t="s">
        <v>320</v>
      </c>
    </row>
    <row r="165" spans="1:2" ht="14.5" x14ac:dyDescent="0.35">
      <c r="A165" s="21" t="s">
        <v>321</v>
      </c>
      <c r="B165" s="21" t="s">
        <v>322</v>
      </c>
    </row>
    <row r="166" spans="1:2" ht="14.5" x14ac:dyDescent="0.35">
      <c r="A166" s="21" t="s">
        <v>323</v>
      </c>
      <c r="B166" s="21" t="s">
        <v>324</v>
      </c>
    </row>
    <row r="167" spans="1:2" ht="14.5" x14ac:dyDescent="0.35">
      <c r="A167" s="21" t="s">
        <v>325</v>
      </c>
      <c r="B167" s="21" t="s">
        <v>326</v>
      </c>
    </row>
    <row r="168" spans="1:2" ht="14.5" x14ac:dyDescent="0.35">
      <c r="A168" s="21" t="s">
        <v>327</v>
      </c>
      <c r="B168" s="21" t="s">
        <v>328</v>
      </c>
    </row>
    <row r="169" spans="1:2" ht="14.5" x14ac:dyDescent="0.35">
      <c r="A169" s="21" t="s">
        <v>329</v>
      </c>
      <c r="B169" s="21" t="s">
        <v>330</v>
      </c>
    </row>
    <row r="170" spans="1:2" ht="14.5" x14ac:dyDescent="0.35">
      <c r="A170" s="21" t="s">
        <v>331</v>
      </c>
      <c r="B170" s="21" t="s">
        <v>332</v>
      </c>
    </row>
    <row r="171" spans="1:2" ht="14.5" x14ac:dyDescent="0.35">
      <c r="A171" s="21" t="s">
        <v>333</v>
      </c>
      <c r="B171" s="21" t="s">
        <v>334</v>
      </c>
    </row>
    <row r="172" spans="1:2" ht="14.5" x14ac:dyDescent="0.35">
      <c r="A172" s="21" t="s">
        <v>335</v>
      </c>
      <c r="B172" s="21" t="s">
        <v>336</v>
      </c>
    </row>
    <row r="173" spans="1:2" ht="14.5" x14ac:dyDescent="0.35">
      <c r="A173" s="21" t="s">
        <v>337</v>
      </c>
      <c r="B173" s="21" t="s">
        <v>338</v>
      </c>
    </row>
    <row r="174" spans="1:2" ht="14.5" x14ac:dyDescent="0.35">
      <c r="A174" s="21" t="s">
        <v>339</v>
      </c>
      <c r="B174" s="21" t="s">
        <v>340</v>
      </c>
    </row>
    <row r="175" spans="1:2" ht="14.5" x14ac:dyDescent="0.35">
      <c r="A175" s="21" t="s">
        <v>341</v>
      </c>
      <c r="B175" s="21" t="s">
        <v>342</v>
      </c>
    </row>
    <row r="176" spans="1:2" ht="14.5" x14ac:dyDescent="0.35">
      <c r="A176" s="21" t="s">
        <v>343</v>
      </c>
      <c r="B176" s="21" t="s">
        <v>344</v>
      </c>
    </row>
    <row r="177" spans="1:2" ht="14.5" x14ac:dyDescent="0.35">
      <c r="A177" s="21" t="s">
        <v>345</v>
      </c>
      <c r="B177" s="21" t="s">
        <v>346</v>
      </c>
    </row>
    <row r="178" spans="1:2" ht="14.5" x14ac:dyDescent="0.35">
      <c r="A178" s="21" t="s">
        <v>347</v>
      </c>
      <c r="B178" s="21" t="s">
        <v>348</v>
      </c>
    </row>
    <row r="179" spans="1:2" ht="14.5" x14ac:dyDescent="0.35">
      <c r="A179" s="21" t="s">
        <v>349</v>
      </c>
      <c r="B179" s="21" t="s">
        <v>350</v>
      </c>
    </row>
    <row r="180" spans="1:2" ht="14.5" x14ac:dyDescent="0.35">
      <c r="A180" s="21" t="s">
        <v>351</v>
      </c>
      <c r="B180" s="21" t="s">
        <v>352</v>
      </c>
    </row>
    <row r="181" spans="1:2" ht="14.5" x14ac:dyDescent="0.35">
      <c r="A181" s="21" t="s">
        <v>353</v>
      </c>
      <c r="B181" s="21" t="s">
        <v>354</v>
      </c>
    </row>
    <row r="182" spans="1:2" ht="14.5" x14ac:dyDescent="0.35">
      <c r="A182" s="21" t="s">
        <v>355</v>
      </c>
      <c r="B182" s="21" t="s">
        <v>356</v>
      </c>
    </row>
    <row r="183" spans="1:2" ht="14.5" x14ac:dyDescent="0.35">
      <c r="A183" s="21" t="s">
        <v>357</v>
      </c>
      <c r="B183" s="21" t="s">
        <v>358</v>
      </c>
    </row>
    <row r="184" spans="1:2" ht="14.5" x14ac:dyDescent="0.35">
      <c r="A184" s="21" t="s">
        <v>359</v>
      </c>
      <c r="B184" s="21" t="s">
        <v>360</v>
      </c>
    </row>
    <row r="185" spans="1:2" ht="14.5" x14ac:dyDescent="0.35">
      <c r="A185" s="21" t="s">
        <v>361</v>
      </c>
      <c r="B185" s="21" t="s">
        <v>362</v>
      </c>
    </row>
    <row r="186" spans="1:2" ht="14.5" x14ac:dyDescent="0.35">
      <c r="A186" s="21" t="s">
        <v>363</v>
      </c>
      <c r="B186" s="21" t="s">
        <v>364</v>
      </c>
    </row>
    <row r="187" spans="1:2" ht="14.5" x14ac:dyDescent="0.35">
      <c r="A187" s="21" t="s">
        <v>365</v>
      </c>
      <c r="B187" s="21" t="s">
        <v>366</v>
      </c>
    </row>
    <row r="188" spans="1:2" ht="14.5" x14ac:dyDescent="0.35">
      <c r="A188" s="21" t="s">
        <v>367</v>
      </c>
      <c r="B188" s="21" t="s">
        <v>368</v>
      </c>
    </row>
    <row r="189" spans="1:2" ht="14.5" x14ac:dyDescent="0.35">
      <c r="A189" s="21" t="s">
        <v>369</v>
      </c>
      <c r="B189" s="21" t="s">
        <v>370</v>
      </c>
    </row>
    <row r="190" spans="1:2" ht="14.5" x14ac:dyDescent="0.35">
      <c r="A190" s="21" t="s">
        <v>371</v>
      </c>
      <c r="B190" s="21" t="s">
        <v>372</v>
      </c>
    </row>
    <row r="191" spans="1:2" ht="14.5" x14ac:dyDescent="0.35">
      <c r="A191" s="21" t="s">
        <v>373</v>
      </c>
      <c r="B191" s="21" t="s">
        <v>374</v>
      </c>
    </row>
    <row r="192" spans="1:2" ht="14.5" x14ac:dyDescent="0.35">
      <c r="A192" s="21" t="s">
        <v>375</v>
      </c>
      <c r="B192" s="21" t="s">
        <v>376</v>
      </c>
    </row>
    <row r="193" spans="1:2" ht="14.5" x14ac:dyDescent="0.35">
      <c r="A193" s="21" t="s">
        <v>377</v>
      </c>
      <c r="B193" s="21" t="s">
        <v>378</v>
      </c>
    </row>
    <row r="194" spans="1:2" ht="14.5" x14ac:dyDescent="0.35">
      <c r="A194" s="21" t="s">
        <v>379</v>
      </c>
      <c r="B194" s="21" t="s">
        <v>380</v>
      </c>
    </row>
    <row r="195" spans="1:2" ht="14.5" x14ac:dyDescent="0.35">
      <c r="A195" s="21" t="s">
        <v>381</v>
      </c>
      <c r="B195" s="21" t="s">
        <v>382</v>
      </c>
    </row>
    <row r="196" spans="1:2" ht="14.5" x14ac:dyDescent="0.35">
      <c r="A196" s="21" t="s">
        <v>383</v>
      </c>
      <c r="B196" s="21" t="s">
        <v>384</v>
      </c>
    </row>
    <row r="197" spans="1:2" ht="14.5" x14ac:dyDescent="0.35">
      <c r="A197" s="21" t="s">
        <v>385</v>
      </c>
      <c r="B197" s="21" t="s">
        <v>386</v>
      </c>
    </row>
    <row r="198" spans="1:2" ht="15" customHeight="1" x14ac:dyDescent="0.35">
      <c r="A198" s="21" t="s">
        <v>387</v>
      </c>
      <c r="B198" s="21" t="s">
        <v>388</v>
      </c>
    </row>
    <row r="199" spans="1:2" ht="15" customHeight="1" x14ac:dyDescent="0.35">
      <c r="A199" s="21" t="s">
        <v>389</v>
      </c>
      <c r="B199" s="21" t="s">
        <v>390</v>
      </c>
    </row>
    <row r="200" spans="1:2" ht="15" customHeight="1" x14ac:dyDescent="0.35">
      <c r="A200" s="21" t="s">
        <v>391</v>
      </c>
      <c r="B200" s="21" t="s">
        <v>392</v>
      </c>
    </row>
    <row r="201" spans="1:2" ht="15" customHeight="1" x14ac:dyDescent="0.35">
      <c r="A201" s="21" t="s">
        <v>393</v>
      </c>
      <c r="B201" s="21" t="s">
        <v>394</v>
      </c>
    </row>
    <row r="202" spans="1:2" ht="15" customHeight="1" x14ac:dyDescent="0.35">
      <c r="A202" s="21" t="s">
        <v>395</v>
      </c>
      <c r="B202" s="21" t="s">
        <v>396</v>
      </c>
    </row>
    <row r="203" spans="1:2" ht="15" customHeight="1" x14ac:dyDescent="0.35">
      <c r="A203" s="21" t="s">
        <v>397</v>
      </c>
      <c r="B203" s="21" t="s">
        <v>398</v>
      </c>
    </row>
    <row r="204" spans="1:2" ht="15" customHeight="1" x14ac:dyDescent="0.35">
      <c r="A204" s="21" t="s">
        <v>399</v>
      </c>
      <c r="B204" s="21" t="s">
        <v>400</v>
      </c>
    </row>
    <row r="205" spans="1:2" ht="15" customHeight="1" x14ac:dyDescent="0.35">
      <c r="A205" s="21" t="s">
        <v>401</v>
      </c>
      <c r="B205" s="21" t="s">
        <v>402</v>
      </c>
    </row>
    <row r="206" spans="1:2" ht="15" customHeight="1" x14ac:dyDescent="0.35">
      <c r="A206" s="21" t="s">
        <v>403</v>
      </c>
      <c r="B206" s="21" t="s">
        <v>404</v>
      </c>
    </row>
    <row r="207" spans="1:2" ht="15" customHeight="1" x14ac:dyDescent="0.35">
      <c r="A207" s="21" t="s">
        <v>405</v>
      </c>
      <c r="B207" s="21" t="s">
        <v>406</v>
      </c>
    </row>
    <row r="208" spans="1:2" ht="15" customHeight="1" x14ac:dyDescent="0.35">
      <c r="A208" s="21" t="s">
        <v>407</v>
      </c>
      <c r="B208" s="21" t="s">
        <v>408</v>
      </c>
    </row>
    <row r="209" spans="1:2" ht="15" customHeight="1" x14ac:dyDescent="0.35">
      <c r="A209" s="21" t="s">
        <v>409</v>
      </c>
      <c r="B209" s="21" t="s">
        <v>410</v>
      </c>
    </row>
    <row r="210" spans="1:2" ht="15" customHeight="1" x14ac:dyDescent="0.35">
      <c r="A210" s="21" t="s">
        <v>411</v>
      </c>
      <c r="B210" s="21" t="s">
        <v>412</v>
      </c>
    </row>
    <row r="211" spans="1:2" ht="15" customHeight="1" x14ac:dyDescent="0.35">
      <c r="A211" s="21" t="s">
        <v>413</v>
      </c>
      <c r="B211" s="21" t="s">
        <v>414</v>
      </c>
    </row>
    <row r="212" spans="1:2" ht="15" customHeight="1" x14ac:dyDescent="0.35">
      <c r="A212" s="21" t="s">
        <v>415</v>
      </c>
      <c r="B212" s="21" t="s">
        <v>416</v>
      </c>
    </row>
    <row r="213" spans="1:2" ht="15" customHeight="1" x14ac:dyDescent="0.35">
      <c r="A213" s="21" t="s">
        <v>417</v>
      </c>
      <c r="B213" s="21" t="s">
        <v>418</v>
      </c>
    </row>
    <row r="214" spans="1:2" ht="15" customHeight="1" x14ac:dyDescent="0.35">
      <c r="A214" s="21" t="s">
        <v>419</v>
      </c>
      <c r="B214" s="21" t="s">
        <v>420</v>
      </c>
    </row>
    <row r="215" spans="1:2" ht="15" customHeight="1" x14ac:dyDescent="0.35">
      <c r="A215" s="21" t="s">
        <v>421</v>
      </c>
      <c r="B215" s="21" t="s">
        <v>422</v>
      </c>
    </row>
    <row r="216" spans="1:2" ht="15" customHeight="1" x14ac:dyDescent="0.35">
      <c r="A216" s="21" t="s">
        <v>423</v>
      </c>
      <c r="B216" s="21" t="s">
        <v>424</v>
      </c>
    </row>
    <row r="217" spans="1:2" ht="15" customHeight="1" x14ac:dyDescent="0.35">
      <c r="A217" s="21" t="s">
        <v>425</v>
      </c>
      <c r="B217" s="21" t="s">
        <v>426</v>
      </c>
    </row>
    <row r="218" spans="1:2" ht="15" customHeight="1" x14ac:dyDescent="0.35">
      <c r="A218" s="21" t="s">
        <v>427</v>
      </c>
      <c r="B218" s="21" t="s">
        <v>428</v>
      </c>
    </row>
    <row r="219" spans="1:2" ht="15" customHeight="1" x14ac:dyDescent="0.35">
      <c r="A219" s="21" t="s">
        <v>429</v>
      </c>
      <c r="B219" s="21" t="s">
        <v>430</v>
      </c>
    </row>
    <row r="220" spans="1:2" ht="15" customHeight="1" x14ac:dyDescent="0.35">
      <c r="A220" s="21" t="s">
        <v>431</v>
      </c>
      <c r="B220" s="21" t="s">
        <v>432</v>
      </c>
    </row>
    <row r="221" spans="1:2" ht="15" customHeight="1" x14ac:dyDescent="0.35">
      <c r="A221" s="21" t="s">
        <v>433</v>
      </c>
      <c r="B221" s="21" t="s">
        <v>434</v>
      </c>
    </row>
    <row r="222" spans="1:2" ht="15" customHeight="1" x14ac:dyDescent="0.35">
      <c r="A222" s="21" t="s">
        <v>435</v>
      </c>
      <c r="B222" s="21" t="s">
        <v>436</v>
      </c>
    </row>
    <row r="223" spans="1:2" ht="15" customHeight="1" x14ac:dyDescent="0.35">
      <c r="A223" s="21" t="s">
        <v>437</v>
      </c>
      <c r="B223" s="21" t="s">
        <v>438</v>
      </c>
    </row>
    <row r="224" spans="1:2" ht="15" customHeight="1" x14ac:dyDescent="0.35">
      <c r="A224" s="21" t="s">
        <v>439</v>
      </c>
      <c r="B224" s="21" t="s">
        <v>440</v>
      </c>
    </row>
    <row r="225" spans="1:2" ht="15" customHeight="1" x14ac:dyDescent="0.35">
      <c r="A225" s="21" t="s">
        <v>441</v>
      </c>
      <c r="B225" s="21" t="s">
        <v>442</v>
      </c>
    </row>
    <row r="226" spans="1:2" ht="15" customHeight="1" x14ac:dyDescent="0.35">
      <c r="A226" s="21" t="s">
        <v>443</v>
      </c>
      <c r="B226" s="21" t="s">
        <v>444</v>
      </c>
    </row>
    <row r="227" spans="1:2" ht="15" customHeight="1" x14ac:dyDescent="0.35">
      <c r="A227" s="21" t="s">
        <v>445</v>
      </c>
      <c r="B227" s="21" t="s">
        <v>446</v>
      </c>
    </row>
    <row r="228" spans="1:2" ht="15" customHeight="1" x14ac:dyDescent="0.35">
      <c r="A228" s="21" t="s">
        <v>447</v>
      </c>
      <c r="B228" s="21" t="s">
        <v>448</v>
      </c>
    </row>
    <row r="229" spans="1:2" ht="15" customHeight="1" x14ac:dyDescent="0.35">
      <c r="A229" s="21" t="s">
        <v>449</v>
      </c>
      <c r="B229" s="21" t="s">
        <v>450</v>
      </c>
    </row>
    <row r="230" spans="1:2" ht="15" customHeight="1" x14ac:dyDescent="0.35">
      <c r="A230" s="21" t="s">
        <v>451</v>
      </c>
      <c r="B230" s="21" t="s">
        <v>452</v>
      </c>
    </row>
    <row r="231" spans="1:2" ht="15" customHeight="1" x14ac:dyDescent="0.35">
      <c r="A231" s="21" t="s">
        <v>453</v>
      </c>
      <c r="B231" s="21" t="s">
        <v>454</v>
      </c>
    </row>
    <row r="232" spans="1:2" ht="15" customHeight="1" x14ac:dyDescent="0.35">
      <c r="A232" s="21" t="s">
        <v>455</v>
      </c>
      <c r="B232" s="21" t="s">
        <v>456</v>
      </c>
    </row>
    <row r="233" spans="1:2" ht="15" customHeight="1" x14ac:dyDescent="0.35">
      <c r="A233" s="21" t="s">
        <v>457</v>
      </c>
      <c r="B233" s="21" t="s">
        <v>458</v>
      </c>
    </row>
    <row r="234" spans="1:2" ht="15" customHeight="1" x14ac:dyDescent="0.35">
      <c r="A234" s="21" t="s">
        <v>459</v>
      </c>
      <c r="B234" s="21" t="s">
        <v>460</v>
      </c>
    </row>
    <row r="235" spans="1:2" ht="15" customHeight="1" x14ac:dyDescent="0.35">
      <c r="A235" s="21" t="s">
        <v>461</v>
      </c>
      <c r="B235" s="21" t="s">
        <v>462</v>
      </c>
    </row>
    <row r="236" spans="1:2" ht="15" customHeight="1" x14ac:dyDescent="0.35">
      <c r="A236" s="21" t="s">
        <v>463</v>
      </c>
      <c r="B236" s="21" t="s">
        <v>464</v>
      </c>
    </row>
    <row r="237" spans="1:2" ht="15" customHeight="1" x14ac:dyDescent="0.35">
      <c r="A237" s="21" t="s">
        <v>465</v>
      </c>
      <c r="B237" s="21" t="s">
        <v>466</v>
      </c>
    </row>
    <row r="238" spans="1:2" ht="15" customHeight="1" x14ac:dyDescent="0.35">
      <c r="A238" s="21" t="s">
        <v>467</v>
      </c>
      <c r="B238" s="21" t="s">
        <v>466</v>
      </c>
    </row>
    <row r="239" spans="1:2" ht="15" customHeight="1" x14ac:dyDescent="0.35">
      <c r="A239" s="21" t="s">
        <v>648</v>
      </c>
      <c r="B239" s="21" t="s">
        <v>649</v>
      </c>
    </row>
    <row r="240" spans="1:2" ht="15" customHeight="1" x14ac:dyDescent="0.35">
      <c r="A240" s="21" t="s">
        <v>468</v>
      </c>
      <c r="B240" s="21" t="s">
        <v>469</v>
      </c>
    </row>
    <row r="241" spans="1:2" ht="15" customHeight="1" x14ac:dyDescent="0.35">
      <c r="A241" s="21" t="s">
        <v>470</v>
      </c>
      <c r="B241" s="21" t="s">
        <v>471</v>
      </c>
    </row>
    <row r="242" spans="1:2" ht="15" customHeight="1" x14ac:dyDescent="0.35">
      <c r="A242" s="21" t="s">
        <v>472</v>
      </c>
      <c r="B242" s="21" t="s">
        <v>473</v>
      </c>
    </row>
    <row r="243" spans="1:2" ht="15" customHeight="1" x14ac:dyDescent="0.35">
      <c r="A243" s="21" t="s">
        <v>474</v>
      </c>
      <c r="B243" s="21" t="s">
        <v>475</v>
      </c>
    </row>
    <row r="244" spans="1:2" ht="15" customHeight="1" x14ac:dyDescent="0.35">
      <c r="A244" s="21" t="s">
        <v>476</v>
      </c>
      <c r="B244" s="21" t="s">
        <v>477</v>
      </c>
    </row>
    <row r="245" spans="1:2" ht="15" customHeight="1" x14ac:dyDescent="0.35">
      <c r="A245" s="21" t="s">
        <v>478</v>
      </c>
      <c r="B245" s="21" t="s">
        <v>479</v>
      </c>
    </row>
    <row r="246" spans="1:2" ht="15" customHeight="1" x14ac:dyDescent="0.35">
      <c r="A246" s="21" t="s">
        <v>480</v>
      </c>
      <c r="B246" s="21" t="s">
        <v>479</v>
      </c>
    </row>
    <row r="247" spans="1:2" ht="15" customHeight="1" x14ac:dyDescent="0.35">
      <c r="A247" s="21" t="s">
        <v>481</v>
      </c>
      <c r="B247" s="21" t="s">
        <v>482</v>
      </c>
    </row>
    <row r="248" spans="1:2" ht="15" customHeight="1" x14ac:dyDescent="0.35">
      <c r="A248" s="21" t="s">
        <v>483</v>
      </c>
      <c r="B248" s="21" t="s">
        <v>484</v>
      </c>
    </row>
    <row r="249" spans="1:2" ht="15" customHeight="1" x14ac:dyDescent="0.35">
      <c r="A249" s="21" t="s">
        <v>485</v>
      </c>
      <c r="B249" s="21" t="s">
        <v>486</v>
      </c>
    </row>
    <row r="250" spans="1:2" ht="15" customHeight="1" x14ac:dyDescent="0.35">
      <c r="A250" s="21" t="s">
        <v>487</v>
      </c>
      <c r="B250" s="21" t="s">
        <v>488</v>
      </c>
    </row>
    <row r="251" spans="1:2" ht="15" customHeight="1" x14ac:dyDescent="0.35">
      <c r="A251" s="21" t="s">
        <v>489</v>
      </c>
      <c r="B251" s="21" t="s">
        <v>490</v>
      </c>
    </row>
    <row r="252" spans="1:2" ht="15" customHeight="1" x14ac:dyDescent="0.35">
      <c r="A252" s="21" t="s">
        <v>491</v>
      </c>
      <c r="B252" s="21" t="s">
        <v>492</v>
      </c>
    </row>
    <row r="253" spans="1:2" ht="15" customHeight="1" x14ac:dyDescent="0.35">
      <c r="A253" s="21" t="s">
        <v>493</v>
      </c>
      <c r="B253" s="21" t="s">
        <v>494</v>
      </c>
    </row>
    <row r="254" spans="1:2" ht="15" customHeight="1" x14ac:dyDescent="0.35">
      <c r="A254" s="21" t="s">
        <v>495</v>
      </c>
      <c r="B254" s="21" t="s">
        <v>496</v>
      </c>
    </row>
    <row r="255" spans="1:2" ht="15" customHeight="1" x14ac:dyDescent="0.35">
      <c r="A255" s="21" t="s">
        <v>497</v>
      </c>
      <c r="B255" s="21" t="s">
        <v>498</v>
      </c>
    </row>
    <row r="256" spans="1:2" ht="15" customHeight="1" x14ac:dyDescent="0.35">
      <c r="A256" s="21" t="s">
        <v>499</v>
      </c>
      <c r="B256" s="21" t="s">
        <v>500</v>
      </c>
    </row>
    <row r="257" spans="1:2" ht="15" customHeight="1" x14ac:dyDescent="0.35">
      <c r="A257" s="21" t="s">
        <v>501</v>
      </c>
      <c r="B257" s="21" t="s">
        <v>502</v>
      </c>
    </row>
    <row r="258" spans="1:2" ht="15" customHeight="1" x14ac:dyDescent="0.35">
      <c r="A258" s="21" t="s">
        <v>503</v>
      </c>
      <c r="B258" s="21" t="s">
        <v>504</v>
      </c>
    </row>
    <row r="259" spans="1:2" ht="15" customHeight="1" x14ac:dyDescent="0.35">
      <c r="A259" s="21" t="s">
        <v>505</v>
      </c>
      <c r="B259" s="21" t="s">
        <v>506</v>
      </c>
    </row>
    <row r="260" spans="1:2" ht="15" customHeight="1" x14ac:dyDescent="0.35">
      <c r="A260" s="21" t="s">
        <v>507</v>
      </c>
      <c r="B260" s="21" t="s">
        <v>508</v>
      </c>
    </row>
    <row r="261" spans="1:2" ht="15" customHeight="1" x14ac:dyDescent="0.35">
      <c r="A261" s="21" t="s">
        <v>509</v>
      </c>
      <c r="B261" s="21" t="s">
        <v>510</v>
      </c>
    </row>
    <row r="262" spans="1:2" ht="15" customHeight="1" x14ac:dyDescent="0.35">
      <c r="A262" s="21" t="s">
        <v>511</v>
      </c>
      <c r="B262" s="21" t="s">
        <v>512</v>
      </c>
    </row>
    <row r="263" spans="1:2" ht="15" customHeight="1" x14ac:dyDescent="0.35">
      <c r="A263" s="21" t="s">
        <v>513</v>
      </c>
      <c r="B263" s="21" t="s">
        <v>514</v>
      </c>
    </row>
    <row r="264" spans="1:2" ht="15" customHeight="1" x14ac:dyDescent="0.35">
      <c r="A264" s="21" t="s">
        <v>515</v>
      </c>
      <c r="B264" s="21" t="s">
        <v>516</v>
      </c>
    </row>
    <row r="265" spans="1:2" ht="15" customHeight="1" x14ac:dyDescent="0.35">
      <c r="A265" s="21" t="s">
        <v>517</v>
      </c>
      <c r="B265" s="21" t="s">
        <v>518</v>
      </c>
    </row>
    <row r="266" spans="1:2" ht="15" customHeight="1" x14ac:dyDescent="0.35">
      <c r="A266" s="21" t="s">
        <v>519</v>
      </c>
      <c r="B266" s="21" t="s">
        <v>520</v>
      </c>
    </row>
    <row r="267" spans="1:2" ht="15" customHeight="1" x14ac:dyDescent="0.35">
      <c r="A267" s="21" t="s">
        <v>521</v>
      </c>
      <c r="B267" s="21" t="s">
        <v>522</v>
      </c>
    </row>
    <row r="268" spans="1:2" ht="15" customHeight="1" x14ac:dyDescent="0.35">
      <c r="A268" s="21" t="s">
        <v>523</v>
      </c>
      <c r="B268" s="21" t="s">
        <v>524</v>
      </c>
    </row>
    <row r="269" spans="1:2" ht="15" customHeight="1" x14ac:dyDescent="0.35">
      <c r="A269" s="21" t="s">
        <v>525</v>
      </c>
      <c r="B269" s="21" t="s">
        <v>526</v>
      </c>
    </row>
    <row r="270" spans="1:2" ht="15" customHeight="1" x14ac:dyDescent="0.35">
      <c r="A270" s="21" t="s">
        <v>527</v>
      </c>
      <c r="B270" s="21" t="s">
        <v>528</v>
      </c>
    </row>
    <row r="271" spans="1:2" ht="15" customHeight="1" x14ac:dyDescent="0.35">
      <c r="A271" s="21" t="s">
        <v>529</v>
      </c>
      <c r="B271" s="21" t="s">
        <v>530</v>
      </c>
    </row>
    <row r="272" spans="1:2" ht="15" customHeight="1" x14ac:dyDescent="0.35">
      <c r="A272" s="21" t="s">
        <v>531</v>
      </c>
      <c r="B272" s="21" t="s">
        <v>531</v>
      </c>
    </row>
    <row r="273" spans="1:2" ht="15" customHeight="1" x14ac:dyDescent="0.35">
      <c r="A273" s="21" t="s">
        <v>532</v>
      </c>
      <c r="B273" s="21" t="s">
        <v>533</v>
      </c>
    </row>
    <row r="274" spans="1:2" ht="15" customHeight="1" x14ac:dyDescent="0.35">
      <c r="A274" s="21" t="s">
        <v>534</v>
      </c>
      <c r="B274" s="21" t="s">
        <v>535</v>
      </c>
    </row>
    <row r="275" spans="1:2" ht="15" customHeight="1" x14ac:dyDescent="0.35">
      <c r="A275" s="21" t="s">
        <v>536</v>
      </c>
      <c r="B275" s="21" t="s">
        <v>537</v>
      </c>
    </row>
    <row r="276" spans="1:2" ht="15" customHeight="1" x14ac:dyDescent="0.35">
      <c r="A276" s="21" t="s">
        <v>538</v>
      </c>
      <c r="B276" s="21" t="s">
        <v>539</v>
      </c>
    </row>
    <row r="277" spans="1:2" ht="15" customHeight="1" x14ac:dyDescent="0.35">
      <c r="A277" s="21" t="s">
        <v>540</v>
      </c>
      <c r="B277" s="21" t="s">
        <v>541</v>
      </c>
    </row>
    <row r="278" spans="1:2" ht="15" customHeight="1" x14ac:dyDescent="0.35">
      <c r="A278" s="21" t="s">
        <v>542</v>
      </c>
      <c r="B278" s="21" t="s">
        <v>543</v>
      </c>
    </row>
    <row r="279" spans="1:2" ht="15" customHeight="1" x14ac:dyDescent="0.35">
      <c r="A279" s="21" t="s">
        <v>544</v>
      </c>
      <c r="B279" s="21" t="s">
        <v>545</v>
      </c>
    </row>
    <row r="280" spans="1:2" ht="15" customHeight="1" x14ac:dyDescent="0.35">
      <c r="A280" s="21" t="s">
        <v>546</v>
      </c>
      <c r="B280" s="21" t="s">
        <v>547</v>
      </c>
    </row>
    <row r="281" spans="1:2" ht="15" customHeight="1" x14ac:dyDescent="0.35">
      <c r="A281" s="21" t="s">
        <v>548</v>
      </c>
      <c r="B281" s="21" t="s">
        <v>549</v>
      </c>
    </row>
    <row r="282" spans="1:2" ht="15" customHeight="1" x14ac:dyDescent="0.35">
      <c r="A282" s="21" t="s">
        <v>550</v>
      </c>
      <c r="B282" s="21" t="s">
        <v>551</v>
      </c>
    </row>
    <row r="283" spans="1:2" ht="15" customHeight="1" x14ac:dyDescent="0.35">
      <c r="A283" s="21" t="s">
        <v>552</v>
      </c>
      <c r="B283" s="21" t="s">
        <v>553</v>
      </c>
    </row>
    <row r="284" spans="1:2" ht="15" customHeight="1" x14ac:dyDescent="0.35">
      <c r="A284" s="21" t="s">
        <v>554</v>
      </c>
      <c r="B284" s="21" t="s">
        <v>555</v>
      </c>
    </row>
    <row r="285" spans="1:2" ht="15" customHeight="1" x14ac:dyDescent="0.35">
      <c r="A285" s="21" t="s">
        <v>652</v>
      </c>
      <c r="B285" s="21" t="s">
        <v>653</v>
      </c>
    </row>
    <row r="286" spans="1:2" ht="15" customHeight="1" x14ac:dyDescent="0.35">
      <c r="A286" s="21" t="s">
        <v>646</v>
      </c>
      <c r="B286" s="21" t="s">
        <v>647</v>
      </c>
    </row>
    <row r="287" spans="1:2" ht="15" customHeight="1" x14ac:dyDescent="0.35">
      <c r="A287" s="21" t="s">
        <v>644</v>
      </c>
      <c r="B287" s="21" t="s">
        <v>645</v>
      </c>
    </row>
    <row r="288" spans="1:2" ht="15" customHeight="1" x14ac:dyDescent="0.35">
      <c r="A288" s="21" t="s">
        <v>556</v>
      </c>
      <c r="B288" s="21" t="s">
        <v>557</v>
      </c>
    </row>
    <row r="289" spans="1:2" ht="15" customHeight="1" x14ac:dyDescent="0.35">
      <c r="A289" s="21" t="s">
        <v>558</v>
      </c>
      <c r="B289" s="21" t="s">
        <v>559</v>
      </c>
    </row>
    <row r="290" spans="1:2" ht="15" customHeight="1" x14ac:dyDescent="0.35">
      <c r="A290" s="21" t="s">
        <v>560</v>
      </c>
      <c r="B290" s="21" t="s">
        <v>561</v>
      </c>
    </row>
    <row r="291" spans="1:2" ht="15" customHeight="1" x14ac:dyDescent="0.35">
      <c r="A291" s="21" t="s">
        <v>562</v>
      </c>
      <c r="B291" s="21" t="s">
        <v>563</v>
      </c>
    </row>
    <row r="292" spans="1:2" ht="15" customHeight="1" x14ac:dyDescent="0.35">
      <c r="A292" s="21" t="s">
        <v>564</v>
      </c>
      <c r="B292" s="21" t="s">
        <v>565</v>
      </c>
    </row>
    <row r="293" spans="1:2" ht="15" customHeight="1" x14ac:dyDescent="0.35">
      <c r="A293" s="21" t="s">
        <v>635</v>
      </c>
      <c r="B293" s="21" t="s">
        <v>634</v>
      </c>
    </row>
    <row r="294" spans="1:2" ht="15" customHeight="1" x14ac:dyDescent="0.35">
      <c r="A294" s="21" t="s">
        <v>566</v>
      </c>
      <c r="B294" s="21" t="s">
        <v>567</v>
      </c>
    </row>
    <row r="295" spans="1:2" ht="15" customHeight="1" x14ac:dyDescent="0.35">
      <c r="A295" s="21" t="s">
        <v>568</v>
      </c>
      <c r="B295" s="21" t="s">
        <v>569</v>
      </c>
    </row>
    <row r="296" spans="1:2" ht="15" customHeight="1" x14ac:dyDescent="0.35">
      <c r="A296" s="21" t="s">
        <v>570</v>
      </c>
      <c r="B296" s="21" t="s">
        <v>571</v>
      </c>
    </row>
    <row r="297" spans="1:2" ht="15" customHeight="1" x14ac:dyDescent="0.35">
      <c r="A297" s="21" t="s">
        <v>572</v>
      </c>
      <c r="B297" s="21" t="s">
        <v>573</v>
      </c>
    </row>
    <row r="298" spans="1:2" ht="15" customHeight="1" x14ac:dyDescent="0.35">
      <c r="A298" s="21" t="s">
        <v>574</v>
      </c>
      <c r="B298" s="21" t="s">
        <v>575</v>
      </c>
    </row>
    <row r="299" spans="1:2" ht="15" customHeight="1" x14ac:dyDescent="0.35">
      <c r="A299" s="21" t="s">
        <v>576</v>
      </c>
      <c r="B299" s="21" t="s">
        <v>577</v>
      </c>
    </row>
    <row r="300" spans="1:2" ht="15" customHeight="1" x14ac:dyDescent="0.35">
      <c r="A300" s="21" t="s">
        <v>578</v>
      </c>
      <c r="B300" s="21" t="s">
        <v>579</v>
      </c>
    </row>
    <row r="301" spans="1:2" ht="15" customHeight="1" x14ac:dyDescent="0.35">
      <c r="A301" s="21" t="s">
        <v>580</v>
      </c>
      <c r="B301" s="21" t="s">
        <v>581</v>
      </c>
    </row>
    <row r="302" spans="1:2" ht="15" customHeight="1" x14ac:dyDescent="0.35">
      <c r="A302" s="21" t="s">
        <v>582</v>
      </c>
      <c r="B302" s="21" t="s">
        <v>583</v>
      </c>
    </row>
    <row r="303" spans="1:2" ht="15" customHeight="1" x14ac:dyDescent="0.35">
      <c r="A303" s="21" t="s">
        <v>584</v>
      </c>
      <c r="B303" s="21" t="s">
        <v>585</v>
      </c>
    </row>
    <row r="304" spans="1:2" ht="15" customHeight="1" x14ac:dyDescent="0.35">
      <c r="A304" s="21" t="s">
        <v>586</v>
      </c>
      <c r="B304" s="21" t="s">
        <v>587</v>
      </c>
    </row>
    <row r="305" spans="1:2" ht="15" customHeight="1" x14ac:dyDescent="0.35">
      <c r="A305" s="21" t="s">
        <v>588</v>
      </c>
      <c r="B305" s="21" t="s">
        <v>589</v>
      </c>
    </row>
    <row r="306" spans="1:2" ht="15" customHeight="1" x14ac:dyDescent="0.35">
      <c r="A306" s="21" t="s">
        <v>590</v>
      </c>
      <c r="B306" s="21" t="s">
        <v>591</v>
      </c>
    </row>
    <row r="307" spans="1:2" ht="15" customHeight="1" x14ac:dyDescent="0.35">
      <c r="A307" s="21" t="s">
        <v>592</v>
      </c>
      <c r="B307" s="21" t="s">
        <v>593</v>
      </c>
    </row>
    <row r="308" spans="1:2" ht="15" customHeight="1" x14ac:dyDescent="0.35">
      <c r="A308" s="21" t="s">
        <v>594</v>
      </c>
      <c r="B308" s="21" t="s">
        <v>595</v>
      </c>
    </row>
    <row r="309" spans="1:2" ht="15" customHeight="1" x14ac:dyDescent="0.35">
      <c r="A309" s="21" t="s">
        <v>596</v>
      </c>
      <c r="B309" s="21" t="s">
        <v>597</v>
      </c>
    </row>
    <row r="310" spans="1:2" ht="15" customHeight="1" x14ac:dyDescent="0.35">
      <c r="A310" s="21" t="s">
        <v>598</v>
      </c>
      <c r="B310" s="21" t="s">
        <v>599</v>
      </c>
    </row>
    <row r="311" spans="1:2" ht="15" customHeight="1" x14ac:dyDescent="0.35">
      <c r="A311" s="21" t="s">
        <v>600</v>
      </c>
      <c r="B311" s="21" t="s">
        <v>601</v>
      </c>
    </row>
    <row r="312" spans="1:2" ht="15" customHeight="1" x14ac:dyDescent="0.35">
      <c r="A312" s="21" t="s">
        <v>602</v>
      </c>
      <c r="B312" s="21" t="s">
        <v>603</v>
      </c>
    </row>
    <row r="313" spans="1:2" ht="15" customHeight="1" x14ac:dyDescent="0.35">
      <c r="A313" s="21" t="s">
        <v>604</v>
      </c>
      <c r="B313" s="21" t="s">
        <v>605</v>
      </c>
    </row>
    <row r="314" spans="1:2" ht="15" customHeight="1" x14ac:dyDescent="0.35">
      <c r="A314" s="21" t="s">
        <v>606</v>
      </c>
      <c r="B314" s="21" t="s">
        <v>607</v>
      </c>
    </row>
    <row r="315" spans="1:2" ht="15" customHeight="1" x14ac:dyDescent="0.35">
      <c r="A315" s="21" t="s">
        <v>608</v>
      </c>
      <c r="B315" s="21" t="s">
        <v>609</v>
      </c>
    </row>
    <row r="316" spans="1:2" ht="15" customHeight="1" x14ac:dyDescent="0.35">
      <c r="A316" s="21" t="s">
        <v>610</v>
      </c>
      <c r="B316" s="21" t="s">
        <v>611</v>
      </c>
    </row>
    <row r="317" spans="1:2" ht="15" customHeight="1" x14ac:dyDescent="0.35">
      <c r="A317" s="21" t="s">
        <v>612</v>
      </c>
      <c r="B317" s="21" t="s">
        <v>613</v>
      </c>
    </row>
    <row r="318" spans="1:2" ht="15" customHeight="1" x14ac:dyDescent="0.35">
      <c r="A318" s="21" t="s">
        <v>614</v>
      </c>
      <c r="B318" s="21" t="s">
        <v>615</v>
      </c>
    </row>
    <row r="319" spans="1:2" ht="15" customHeight="1" x14ac:dyDescent="0.35">
      <c r="A319" s="21" t="s">
        <v>616</v>
      </c>
      <c r="B319" s="21" t="s">
        <v>617</v>
      </c>
    </row>
    <row r="320" spans="1:2" ht="15" customHeight="1" x14ac:dyDescent="0.35">
      <c r="A320" s="21" t="s">
        <v>618</v>
      </c>
      <c r="B320" s="21" t="s">
        <v>619</v>
      </c>
    </row>
    <row r="321" spans="1:2" ht="15" customHeight="1" x14ac:dyDescent="0.35">
      <c r="A321" s="21" t="s">
        <v>620</v>
      </c>
      <c r="B321" s="21" t="s">
        <v>621</v>
      </c>
    </row>
  </sheetData>
  <sortState xmlns:xlrd2="http://schemas.microsoft.com/office/spreadsheetml/2017/richdata2" ref="A1:B324">
    <sortCondition ref="B1:B1000"/>
  </sortState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M328"/>
  <sheetViews>
    <sheetView showGridLines="0" showRowColHeaders="0" tabSelected="1" zoomScale="80" zoomScaleNormal="80" zoomScaleSheetLayoutView="80" zoomScalePageLayoutView="80" workbookViewId="0">
      <selection activeCell="F11" sqref="F11"/>
    </sheetView>
  </sheetViews>
  <sheetFormatPr defaultColWidth="0" defaultRowHeight="15" customHeight="1" zeroHeight="1" x14ac:dyDescent="0.35"/>
  <cols>
    <col min="1" max="1" width="3.08203125" style="1" customWidth="1"/>
    <col min="2" max="2" width="31.25" style="1" hidden="1" customWidth="1"/>
    <col min="3" max="3" width="14.75" style="1" hidden="1" customWidth="1"/>
    <col min="4" max="4" width="41.58203125" style="1" customWidth="1"/>
    <col min="5" max="5" width="16.5" style="1" customWidth="1"/>
    <col min="6" max="6" width="26.75" style="1" bestFit="1" customWidth="1"/>
    <col min="7" max="11" width="17.75" style="1" customWidth="1"/>
    <col min="12" max="12" width="2.83203125" style="1" customWidth="1"/>
    <col min="13" max="13" width="0" style="1" hidden="1" customWidth="1"/>
    <col min="14" max="16384" width="11" style="1" hidden="1"/>
  </cols>
  <sheetData>
    <row r="1" spans="2:8" ht="14.5" x14ac:dyDescent="0.35">
      <c r="D1" s="14"/>
      <c r="F1" s="14"/>
      <c r="G1" s="7"/>
      <c r="H1" s="13"/>
    </row>
    <row r="2" spans="2:8" ht="18.5" x14ac:dyDescent="0.45">
      <c r="D2" s="15"/>
      <c r="G2" s="7"/>
      <c r="H2" s="13"/>
    </row>
    <row r="3" spans="2:8" ht="15" customHeight="1" x14ac:dyDescent="0.35">
      <c r="D3" s="16"/>
      <c r="G3" s="7"/>
      <c r="H3" s="13"/>
    </row>
    <row r="4" spans="2:8" ht="14.5" hidden="1" x14ac:dyDescent="0.35">
      <c r="D4" s="8" t="s">
        <v>2</v>
      </c>
      <c r="E4" s="9">
        <f ca="1">+TODAY()</f>
        <v>44705</v>
      </c>
      <c r="G4" s="7"/>
    </row>
    <row r="5" spans="2:8" ht="14.5" hidden="1" x14ac:dyDescent="0.35">
      <c r="D5" s="8" t="s">
        <v>3</v>
      </c>
      <c r="E5" s="6" t="e">
        <f>+Standards!#REF!</f>
        <v>#REF!</v>
      </c>
      <c r="G5" s="7"/>
    </row>
    <row r="6" spans="2:8" ht="14.5" hidden="1" x14ac:dyDescent="0.35">
      <c r="D6" s="8" t="s">
        <v>4</v>
      </c>
      <c r="E6" s="6" t="e">
        <f>+WEEKNUM(#REF!)</f>
        <v>#REF!</v>
      </c>
      <c r="G6" s="7"/>
    </row>
    <row r="7" spans="2:8" ht="14.5" hidden="1" x14ac:dyDescent="0.35">
      <c r="D7" s="8" t="s">
        <v>5</v>
      </c>
      <c r="E7" s="6" t="e">
        <f>+VLOOKUP(MONTH(#REF!),$B$140:$C$151,2,FALSE)</f>
        <v>#REF!</v>
      </c>
      <c r="G7" s="7"/>
    </row>
    <row r="8" spans="2:8" ht="14.5" hidden="1" x14ac:dyDescent="0.35">
      <c r="B8" s="4" t="s">
        <v>0</v>
      </c>
      <c r="C8" s="4" t="s">
        <v>1</v>
      </c>
      <c r="D8" s="8" t="s">
        <v>6</v>
      </c>
      <c r="E8" s="6" t="e">
        <f>+YEAR(#REF!)</f>
        <v>#REF!</v>
      </c>
      <c r="G8" s="7"/>
    </row>
    <row r="9" spans="2:8" ht="14.5" hidden="1" x14ac:dyDescent="0.35">
      <c r="B9" s="5" t="s">
        <v>23</v>
      </c>
      <c r="C9" s="5" t="e">
        <f>IF(+Standards!#REF!="","",+Standards!#REF!)</f>
        <v>#REF!</v>
      </c>
      <c r="D9" s="24" t="s">
        <v>19</v>
      </c>
      <c r="E9" s="27" t="e">
        <f>+VLOOKUP(G12,Standards!#REF!,2,FALSE)</f>
        <v>#REF!</v>
      </c>
      <c r="G9" s="7"/>
    </row>
    <row r="10" spans="2:8" ht="15.5" x14ac:dyDescent="0.35">
      <c r="B10" s="5" t="s">
        <v>24</v>
      </c>
      <c r="C10" s="22" t="e">
        <f>IF(+Standards!#REF!="","",+Standards!#REF!)</f>
        <v>#REF!</v>
      </c>
      <c r="D10" s="25"/>
      <c r="E10" s="30"/>
      <c r="F10" s="30"/>
      <c r="G10" s="7"/>
    </row>
    <row r="11" spans="2:8" ht="14.5" x14ac:dyDescent="0.35">
      <c r="B11" s="5"/>
      <c r="C11" s="22" t="e">
        <f>IF(+Standards!#REF!="","",+Standards!#REF!)</f>
        <v>#REF!</v>
      </c>
      <c r="D11" s="26"/>
      <c r="E11" s="28" t="s">
        <v>622</v>
      </c>
      <c r="F11" s="29" t="s">
        <v>581</v>
      </c>
      <c r="G11" s="7"/>
    </row>
    <row r="12" spans="2:8" ht="15" customHeight="1" x14ac:dyDescent="0.35">
      <c r="B12" s="5" t="s">
        <v>25</v>
      </c>
      <c r="C12" s="22" t="e">
        <f>IF(+Standards!#REF!="","",+Standards!#REF!)</f>
        <v>#REF!</v>
      </c>
      <c r="D12" s="26"/>
      <c r="E12" s="23" t="s">
        <v>623</v>
      </c>
      <c r="F12" s="20" t="s">
        <v>580</v>
      </c>
      <c r="G12" s="17" t="str">
        <f>CONCATENATE(F11," ",F12)</f>
        <v>Vollkostenpreis full cost price</v>
      </c>
      <c r="H12" s="19"/>
    </row>
    <row r="13" spans="2:8" ht="14.5" x14ac:dyDescent="0.35">
      <c r="B13" s="5" t="s">
        <v>26</v>
      </c>
      <c r="C13" s="10"/>
    </row>
    <row r="14" spans="2:8" ht="14.5" x14ac:dyDescent="0.35">
      <c r="B14" s="5" t="s">
        <v>26</v>
      </c>
      <c r="C14" s="10"/>
    </row>
    <row r="15" spans="2:8" ht="14.5" x14ac:dyDescent="0.35">
      <c r="B15" s="5" t="s">
        <v>26</v>
      </c>
      <c r="C15" s="10"/>
    </row>
    <row r="16" spans="2:8" ht="14.5" x14ac:dyDescent="0.35">
      <c r="B16" s="5" t="s">
        <v>26</v>
      </c>
      <c r="C16" s="10"/>
    </row>
    <row r="17" spans="2:3" ht="14.5" hidden="1" x14ac:dyDescent="0.35">
      <c r="B17" s="5" t="s">
        <v>26</v>
      </c>
      <c r="C17" s="10"/>
    </row>
    <row r="18" spans="2:3" ht="14.5" hidden="1" x14ac:dyDescent="0.35">
      <c r="B18" s="5" t="s">
        <v>26</v>
      </c>
      <c r="C18" s="10"/>
    </row>
    <row r="19" spans="2:3" ht="14.5" hidden="1" x14ac:dyDescent="0.35">
      <c r="B19" s="5" t="s">
        <v>26</v>
      </c>
      <c r="C19" s="10"/>
    </row>
    <row r="20" spans="2:3" ht="14.5" hidden="1" x14ac:dyDescent="0.35">
      <c r="B20" s="5" t="s">
        <v>26</v>
      </c>
      <c r="C20" s="10"/>
    </row>
    <row r="21" spans="2:3" ht="14.5" hidden="1" x14ac:dyDescent="0.35">
      <c r="B21" s="5" t="s">
        <v>26</v>
      </c>
      <c r="C21" s="10"/>
    </row>
    <row r="22" spans="2:3" ht="14.5" hidden="1" x14ac:dyDescent="0.35">
      <c r="B22" s="5" t="s">
        <v>26</v>
      </c>
      <c r="C22" s="10"/>
    </row>
    <row r="23" spans="2:3" ht="14.5" hidden="1" x14ac:dyDescent="0.35">
      <c r="B23" s="5" t="s">
        <v>26</v>
      </c>
      <c r="C23" s="10"/>
    </row>
    <row r="24" spans="2:3" ht="14.5" hidden="1" x14ac:dyDescent="0.35">
      <c r="B24" s="5" t="s">
        <v>26</v>
      </c>
      <c r="C24" s="10"/>
    </row>
    <row r="25" spans="2:3" ht="14.5" hidden="1" x14ac:dyDescent="0.35">
      <c r="B25" s="5" t="s">
        <v>26</v>
      </c>
      <c r="C25" s="10"/>
    </row>
    <row r="26" spans="2:3" ht="14.5" hidden="1" x14ac:dyDescent="0.35">
      <c r="B26" s="5">
        <v>1</v>
      </c>
      <c r="C26" s="10"/>
    </row>
    <row r="27" spans="2:3" ht="14.5" hidden="1" x14ac:dyDescent="0.35">
      <c r="B27" s="5">
        <v>2</v>
      </c>
      <c r="C27" s="10"/>
    </row>
    <row r="28" spans="2:3" ht="14.5" hidden="1" x14ac:dyDescent="0.35">
      <c r="B28" s="5">
        <v>3</v>
      </c>
      <c r="C28" s="10"/>
    </row>
    <row r="29" spans="2:3" ht="14.5" hidden="1" x14ac:dyDescent="0.35">
      <c r="B29" s="5">
        <v>4</v>
      </c>
      <c r="C29" s="10"/>
    </row>
    <row r="30" spans="2:3" ht="14.5" hidden="1" x14ac:dyDescent="0.35">
      <c r="B30" s="5">
        <v>5</v>
      </c>
      <c r="C30" s="10"/>
    </row>
    <row r="31" spans="2:3" ht="14.5" hidden="1" x14ac:dyDescent="0.35">
      <c r="B31" s="5">
        <v>6</v>
      </c>
      <c r="C31" s="10"/>
    </row>
    <row r="32" spans="2:3" ht="14.5" hidden="1" x14ac:dyDescent="0.35">
      <c r="B32" s="5">
        <v>7</v>
      </c>
      <c r="C32" s="10"/>
    </row>
    <row r="33" spans="2:3" ht="14.5" hidden="1" x14ac:dyDescent="0.35">
      <c r="B33" s="5">
        <v>8</v>
      </c>
      <c r="C33" s="10"/>
    </row>
    <row r="34" spans="2:3" ht="14.5" hidden="1" x14ac:dyDescent="0.35">
      <c r="B34" s="5">
        <v>9</v>
      </c>
      <c r="C34" s="10"/>
    </row>
    <row r="35" spans="2:3" ht="14.5" hidden="1" x14ac:dyDescent="0.35">
      <c r="B35" s="5">
        <v>10</v>
      </c>
      <c r="C35" s="10"/>
    </row>
    <row r="36" spans="2:3" ht="14.5" hidden="1" x14ac:dyDescent="0.35">
      <c r="B36" s="5" t="s">
        <v>26</v>
      </c>
      <c r="C36" s="10"/>
    </row>
    <row r="37" spans="2:3" ht="14.5" hidden="1" x14ac:dyDescent="0.35">
      <c r="B37" s="5" t="s">
        <v>26</v>
      </c>
      <c r="C37" s="10"/>
    </row>
    <row r="38" spans="2:3" ht="14.5" hidden="1" x14ac:dyDescent="0.35">
      <c r="B38" s="5" t="s">
        <v>26</v>
      </c>
      <c r="C38" s="10"/>
    </row>
    <row r="39" spans="2:3" ht="14.5" hidden="1" x14ac:dyDescent="0.35">
      <c r="B39" s="5" t="s">
        <v>26</v>
      </c>
      <c r="C39" s="10"/>
    </row>
    <row r="40" spans="2:3" ht="14.5" hidden="1" x14ac:dyDescent="0.35">
      <c r="B40" s="5" t="s">
        <v>26</v>
      </c>
      <c r="C40" s="10"/>
    </row>
    <row r="41" spans="2:3" ht="14.5" hidden="1" x14ac:dyDescent="0.35">
      <c r="B41" s="5" t="s">
        <v>26</v>
      </c>
      <c r="C41" s="10"/>
    </row>
    <row r="42" spans="2:3" ht="14.5" hidden="1" x14ac:dyDescent="0.35">
      <c r="B42" s="5" t="s">
        <v>26</v>
      </c>
      <c r="C42" s="10"/>
    </row>
    <row r="43" spans="2:3" ht="14.5" hidden="1" x14ac:dyDescent="0.35">
      <c r="B43" s="5" t="s">
        <v>26</v>
      </c>
      <c r="C43" s="10"/>
    </row>
    <row r="44" spans="2:3" ht="14.5" hidden="1" x14ac:dyDescent="0.35">
      <c r="B44" s="5" t="s">
        <v>26</v>
      </c>
      <c r="C44" s="10"/>
    </row>
    <row r="45" spans="2:3" ht="14.5" hidden="1" x14ac:dyDescent="0.35">
      <c r="B45" s="5" t="s">
        <v>26</v>
      </c>
      <c r="C45" s="10"/>
    </row>
    <row r="46" spans="2:3" ht="14.5" hidden="1" x14ac:dyDescent="0.35">
      <c r="B46" s="5" t="s">
        <v>26</v>
      </c>
      <c r="C46" s="10"/>
    </row>
    <row r="47" spans="2:3" ht="14.5" hidden="1" x14ac:dyDescent="0.35">
      <c r="B47" s="5" t="s">
        <v>26</v>
      </c>
      <c r="C47" s="10"/>
    </row>
    <row r="48" spans="2:3" ht="14.5" hidden="1" x14ac:dyDescent="0.35">
      <c r="B48" s="5" t="s">
        <v>26</v>
      </c>
      <c r="C48" s="10"/>
    </row>
    <row r="49" spans="2:3" ht="14.5" hidden="1" x14ac:dyDescent="0.35">
      <c r="B49" s="5" t="s">
        <v>26</v>
      </c>
      <c r="C49" s="10"/>
    </row>
    <row r="50" spans="2:3" ht="14.5" hidden="1" x14ac:dyDescent="0.35">
      <c r="B50" s="5" t="s">
        <v>26</v>
      </c>
      <c r="C50" s="10"/>
    </row>
    <row r="51" spans="2:3" ht="14.5" hidden="1" x14ac:dyDescent="0.35">
      <c r="B51" s="5" t="s">
        <v>26</v>
      </c>
      <c r="C51" s="10"/>
    </row>
    <row r="52" spans="2:3" ht="14.5" hidden="1" x14ac:dyDescent="0.35">
      <c r="B52" s="5" t="s">
        <v>26</v>
      </c>
      <c r="C52" s="10"/>
    </row>
    <row r="53" spans="2:3" ht="14.5" hidden="1" x14ac:dyDescent="0.35">
      <c r="B53" s="5" t="s">
        <v>26</v>
      </c>
      <c r="C53" s="10"/>
    </row>
    <row r="54" spans="2:3" ht="14.5" hidden="1" x14ac:dyDescent="0.35">
      <c r="B54" s="5" t="s">
        <v>26</v>
      </c>
      <c r="C54" s="10"/>
    </row>
    <row r="55" spans="2:3" ht="14.5" hidden="1" x14ac:dyDescent="0.35">
      <c r="B55" s="5" t="s">
        <v>26</v>
      </c>
      <c r="C55" s="10"/>
    </row>
    <row r="56" spans="2:3" ht="14.5" hidden="1" x14ac:dyDescent="0.35">
      <c r="B56" s="5" t="s">
        <v>26</v>
      </c>
      <c r="C56" s="10"/>
    </row>
    <row r="57" spans="2:3" ht="14.5" hidden="1" x14ac:dyDescent="0.35">
      <c r="B57" s="5" t="s">
        <v>26</v>
      </c>
      <c r="C57" s="10"/>
    </row>
    <row r="58" spans="2:3" ht="14.5" hidden="1" x14ac:dyDescent="0.35">
      <c r="B58" s="5" t="s">
        <v>26</v>
      </c>
      <c r="C58" s="10"/>
    </row>
    <row r="59" spans="2:3" ht="14.5" hidden="1" x14ac:dyDescent="0.35">
      <c r="B59" s="5" t="s">
        <v>26</v>
      </c>
      <c r="C59" s="10"/>
    </row>
    <row r="60" spans="2:3" ht="14.5" hidden="1" x14ac:dyDescent="0.35">
      <c r="B60" s="5" t="s">
        <v>26</v>
      </c>
      <c r="C60" s="10"/>
    </row>
    <row r="61" spans="2:3" ht="14.5" hidden="1" x14ac:dyDescent="0.35">
      <c r="B61" s="5" t="s">
        <v>26</v>
      </c>
      <c r="C61" s="10"/>
    </row>
    <row r="62" spans="2:3" ht="14.5" hidden="1" x14ac:dyDescent="0.35">
      <c r="B62" s="5" t="s">
        <v>26</v>
      </c>
      <c r="C62" s="10"/>
    </row>
    <row r="63" spans="2:3" ht="14.5" hidden="1" x14ac:dyDescent="0.35">
      <c r="B63" s="5" t="s">
        <v>26</v>
      </c>
      <c r="C63" s="10"/>
    </row>
    <row r="64" spans="2:3" ht="14.5" hidden="1" x14ac:dyDescent="0.35">
      <c r="B64" s="5" t="s">
        <v>26</v>
      </c>
      <c r="C64" s="10"/>
    </row>
    <row r="65" spans="2:3" ht="14.5" hidden="1" x14ac:dyDescent="0.35">
      <c r="B65" s="5" t="s">
        <v>26</v>
      </c>
      <c r="C65" s="10"/>
    </row>
    <row r="66" spans="2:3" ht="14.5" hidden="1" x14ac:dyDescent="0.35">
      <c r="B66" s="5" t="s">
        <v>26</v>
      </c>
      <c r="C66" s="10"/>
    </row>
    <row r="67" spans="2:3" ht="14.5" hidden="1" x14ac:dyDescent="0.35">
      <c r="B67" s="5" t="s">
        <v>26</v>
      </c>
      <c r="C67" s="10"/>
    </row>
    <row r="68" spans="2:3" ht="14.5" hidden="1" x14ac:dyDescent="0.35">
      <c r="B68" s="5" t="s">
        <v>26</v>
      </c>
      <c r="C68" s="10"/>
    </row>
    <row r="69" spans="2:3" ht="14.5" hidden="1" x14ac:dyDescent="0.35">
      <c r="B69" s="5" t="s">
        <v>26</v>
      </c>
      <c r="C69" s="10"/>
    </row>
    <row r="70" spans="2:3" ht="14.5" hidden="1" x14ac:dyDescent="0.35">
      <c r="B70" s="5" t="s">
        <v>26</v>
      </c>
      <c r="C70" s="10"/>
    </row>
    <row r="71" spans="2:3" ht="14.5" hidden="1" x14ac:dyDescent="0.35">
      <c r="B71" s="5" t="s">
        <v>26</v>
      </c>
      <c r="C71" s="10"/>
    </row>
    <row r="72" spans="2:3" ht="14.5" hidden="1" x14ac:dyDescent="0.35">
      <c r="B72" s="5" t="s">
        <v>26</v>
      </c>
      <c r="C72" s="10"/>
    </row>
    <row r="73" spans="2:3" ht="14.5" hidden="1" x14ac:dyDescent="0.35">
      <c r="B73" s="5" t="s">
        <v>26</v>
      </c>
      <c r="C73" s="10"/>
    </row>
    <row r="74" spans="2:3" ht="14.5" hidden="1" x14ac:dyDescent="0.35">
      <c r="B74" s="5" t="s">
        <v>26</v>
      </c>
      <c r="C74" s="10"/>
    </row>
    <row r="75" spans="2:3" ht="14.5" hidden="1" x14ac:dyDescent="0.35">
      <c r="B75" s="5" t="s">
        <v>26</v>
      </c>
      <c r="C75" s="10"/>
    </row>
    <row r="76" spans="2:3" ht="14.5" hidden="1" x14ac:dyDescent="0.35">
      <c r="B76" s="5" t="s">
        <v>26</v>
      </c>
      <c r="C76" s="10"/>
    </row>
    <row r="77" spans="2:3" ht="14.5" hidden="1" x14ac:dyDescent="0.35">
      <c r="B77" s="5" t="s">
        <v>26</v>
      </c>
      <c r="C77" s="10"/>
    </row>
    <row r="78" spans="2:3" ht="14.5" hidden="1" x14ac:dyDescent="0.35">
      <c r="B78" s="5" t="s">
        <v>26</v>
      </c>
      <c r="C78" s="10"/>
    </row>
    <row r="79" spans="2:3" ht="14.5" hidden="1" x14ac:dyDescent="0.35">
      <c r="B79" s="5" t="s">
        <v>26</v>
      </c>
      <c r="C79" s="10"/>
    </row>
    <row r="80" spans="2:3" ht="14.5" hidden="1" x14ac:dyDescent="0.35">
      <c r="B80" s="5" t="s">
        <v>26</v>
      </c>
      <c r="C80" s="10"/>
    </row>
    <row r="81" spans="2:3" ht="14.5" hidden="1" x14ac:dyDescent="0.35">
      <c r="B81" s="5" t="s">
        <v>26</v>
      </c>
      <c r="C81" s="10"/>
    </row>
    <row r="82" spans="2:3" ht="14.5" hidden="1" x14ac:dyDescent="0.35">
      <c r="B82" s="5" t="s">
        <v>26</v>
      </c>
      <c r="C82" s="10"/>
    </row>
    <row r="83" spans="2:3" ht="14.5" hidden="1" x14ac:dyDescent="0.35">
      <c r="B83" s="5" t="s">
        <v>26</v>
      </c>
      <c r="C83" s="10"/>
    </row>
    <row r="84" spans="2:3" ht="14.5" hidden="1" x14ac:dyDescent="0.35">
      <c r="B84" s="5" t="s">
        <v>26</v>
      </c>
      <c r="C84" s="10"/>
    </row>
    <row r="85" spans="2:3" ht="14.5" hidden="1" x14ac:dyDescent="0.35">
      <c r="B85" s="5" t="s">
        <v>26</v>
      </c>
      <c r="C85" s="10"/>
    </row>
    <row r="86" spans="2:3" ht="14.5" hidden="1" x14ac:dyDescent="0.35">
      <c r="B86" s="5" t="s">
        <v>26</v>
      </c>
      <c r="C86" s="10"/>
    </row>
    <row r="87" spans="2:3" ht="14.5" hidden="1" x14ac:dyDescent="0.35">
      <c r="B87" s="5" t="s">
        <v>26</v>
      </c>
      <c r="C87" s="10"/>
    </row>
    <row r="88" spans="2:3" ht="14.5" hidden="1" x14ac:dyDescent="0.35">
      <c r="B88" s="5" t="s">
        <v>26</v>
      </c>
      <c r="C88" s="10"/>
    </row>
    <row r="89" spans="2:3" ht="14.5" hidden="1" x14ac:dyDescent="0.35">
      <c r="B89" s="5" t="s">
        <v>26</v>
      </c>
      <c r="C89" s="10"/>
    </row>
    <row r="90" spans="2:3" ht="14.5" hidden="1" x14ac:dyDescent="0.35">
      <c r="B90" s="5" t="s">
        <v>26</v>
      </c>
      <c r="C90" s="10"/>
    </row>
    <row r="91" spans="2:3" ht="14.5" hidden="1" x14ac:dyDescent="0.35">
      <c r="B91" s="5" t="s">
        <v>26</v>
      </c>
      <c r="C91" s="10"/>
    </row>
    <row r="92" spans="2:3" ht="14.5" hidden="1" x14ac:dyDescent="0.35">
      <c r="B92" s="5" t="s">
        <v>26</v>
      </c>
      <c r="C92" s="10"/>
    </row>
    <row r="93" spans="2:3" ht="14.5" hidden="1" x14ac:dyDescent="0.35">
      <c r="B93" s="5" t="s">
        <v>26</v>
      </c>
      <c r="C93" s="10"/>
    </row>
    <row r="94" spans="2:3" ht="14.5" hidden="1" x14ac:dyDescent="0.35">
      <c r="B94" s="5" t="s">
        <v>26</v>
      </c>
      <c r="C94" s="10"/>
    </row>
    <row r="95" spans="2:3" ht="14.5" hidden="1" x14ac:dyDescent="0.35">
      <c r="B95" s="5" t="s">
        <v>26</v>
      </c>
      <c r="C95" s="10"/>
    </row>
    <row r="96" spans="2:3" ht="14.5" hidden="1" x14ac:dyDescent="0.35">
      <c r="B96" s="5" t="s">
        <v>26</v>
      </c>
      <c r="C96" s="10"/>
    </row>
    <row r="97" spans="2:3" ht="14.5" hidden="1" x14ac:dyDescent="0.35">
      <c r="B97" s="5" t="s">
        <v>26</v>
      </c>
      <c r="C97" s="10"/>
    </row>
    <row r="98" spans="2:3" ht="14.5" hidden="1" x14ac:dyDescent="0.35">
      <c r="B98" s="5" t="s">
        <v>26</v>
      </c>
      <c r="C98" s="10"/>
    </row>
    <row r="99" spans="2:3" ht="14.5" hidden="1" x14ac:dyDescent="0.35">
      <c r="B99" s="5" t="s">
        <v>26</v>
      </c>
      <c r="C99" s="10"/>
    </row>
    <row r="100" spans="2:3" ht="14.5" hidden="1" x14ac:dyDescent="0.35">
      <c r="B100" s="5" t="s">
        <v>26</v>
      </c>
      <c r="C100" s="10"/>
    </row>
    <row r="101" spans="2:3" ht="14.5" hidden="1" x14ac:dyDescent="0.35">
      <c r="B101" s="5" t="s">
        <v>26</v>
      </c>
      <c r="C101" s="10"/>
    </row>
    <row r="102" spans="2:3" ht="14.5" hidden="1" x14ac:dyDescent="0.35">
      <c r="B102" s="5" t="s">
        <v>26</v>
      </c>
      <c r="C102" s="10"/>
    </row>
    <row r="103" spans="2:3" ht="14.5" hidden="1" x14ac:dyDescent="0.35">
      <c r="B103" s="5" t="s">
        <v>26</v>
      </c>
      <c r="C103" s="10"/>
    </row>
    <row r="104" spans="2:3" ht="14.5" hidden="1" x14ac:dyDescent="0.35">
      <c r="B104" s="5" t="s">
        <v>26</v>
      </c>
      <c r="C104" s="10"/>
    </row>
    <row r="105" spans="2:3" ht="14.5" hidden="1" x14ac:dyDescent="0.35">
      <c r="B105" s="5" t="s">
        <v>26</v>
      </c>
      <c r="C105" s="10"/>
    </row>
    <row r="106" spans="2:3" ht="14.5" hidden="1" x14ac:dyDescent="0.35">
      <c r="B106" s="5" t="s">
        <v>26</v>
      </c>
      <c r="C106" s="10"/>
    </row>
    <row r="107" spans="2:3" ht="14.5" hidden="1" x14ac:dyDescent="0.35">
      <c r="B107" s="5" t="s">
        <v>26</v>
      </c>
      <c r="C107" s="10"/>
    </row>
    <row r="108" spans="2:3" ht="14.5" hidden="1" x14ac:dyDescent="0.35">
      <c r="B108" s="5" t="s">
        <v>26</v>
      </c>
      <c r="C108" s="10"/>
    </row>
    <row r="109" spans="2:3" ht="14.5" hidden="1" x14ac:dyDescent="0.35">
      <c r="B109" s="5" t="s">
        <v>26</v>
      </c>
      <c r="C109" s="10"/>
    </row>
    <row r="110" spans="2:3" ht="14.5" hidden="1" x14ac:dyDescent="0.35">
      <c r="B110" s="5" t="s">
        <v>26</v>
      </c>
      <c r="C110" s="10"/>
    </row>
    <row r="111" spans="2:3" ht="14.5" hidden="1" x14ac:dyDescent="0.35">
      <c r="B111" s="5" t="s">
        <v>26</v>
      </c>
      <c r="C111" s="10"/>
    </row>
    <row r="112" spans="2:3" ht="14.5" hidden="1" x14ac:dyDescent="0.35">
      <c r="B112" s="5" t="s">
        <v>26</v>
      </c>
      <c r="C112" s="10"/>
    </row>
    <row r="113" spans="2:3" ht="14.5" hidden="1" x14ac:dyDescent="0.35">
      <c r="B113" s="5" t="s">
        <v>26</v>
      </c>
      <c r="C113" s="10"/>
    </row>
    <row r="114" spans="2:3" ht="14.5" hidden="1" x14ac:dyDescent="0.35">
      <c r="B114" s="5" t="s">
        <v>26</v>
      </c>
      <c r="C114" s="10"/>
    </row>
    <row r="115" spans="2:3" ht="14.5" hidden="1" x14ac:dyDescent="0.35">
      <c r="B115" s="5" t="s">
        <v>26</v>
      </c>
      <c r="C115" s="10"/>
    </row>
    <row r="116" spans="2:3" ht="14.5" hidden="1" x14ac:dyDescent="0.35">
      <c r="B116" s="5" t="s">
        <v>26</v>
      </c>
      <c r="C116" s="10"/>
    </row>
    <row r="117" spans="2:3" ht="14.5" hidden="1" x14ac:dyDescent="0.35">
      <c r="B117" s="5" t="s">
        <v>26</v>
      </c>
      <c r="C117" s="10"/>
    </row>
    <row r="118" spans="2:3" ht="14.5" hidden="1" x14ac:dyDescent="0.35">
      <c r="B118" s="5" t="s">
        <v>26</v>
      </c>
      <c r="C118" s="10"/>
    </row>
    <row r="119" spans="2:3" ht="14.5" hidden="1" x14ac:dyDescent="0.35">
      <c r="B119" s="5" t="s">
        <v>26</v>
      </c>
      <c r="C119" s="10"/>
    </row>
    <row r="120" spans="2:3" ht="14.5" hidden="1" x14ac:dyDescent="0.35">
      <c r="B120" s="5" t="s">
        <v>26</v>
      </c>
      <c r="C120" s="10"/>
    </row>
    <row r="121" spans="2:3" ht="14.5" hidden="1" x14ac:dyDescent="0.35">
      <c r="B121" s="5" t="s">
        <v>26</v>
      </c>
      <c r="C121" s="10"/>
    </row>
    <row r="122" spans="2:3" ht="14.5" hidden="1" x14ac:dyDescent="0.35">
      <c r="B122" s="5" t="s">
        <v>26</v>
      </c>
      <c r="C122" s="10"/>
    </row>
    <row r="123" spans="2:3" ht="14.5" hidden="1" x14ac:dyDescent="0.35">
      <c r="B123" s="5" t="s">
        <v>26</v>
      </c>
      <c r="C123" s="10"/>
    </row>
    <row r="124" spans="2:3" ht="14.5" hidden="1" x14ac:dyDescent="0.35">
      <c r="B124" s="5" t="s">
        <v>26</v>
      </c>
      <c r="C124" s="10"/>
    </row>
    <row r="125" spans="2:3" ht="14.5" hidden="1" x14ac:dyDescent="0.35">
      <c r="B125" s="5" t="s">
        <v>26</v>
      </c>
      <c r="C125" s="10"/>
    </row>
    <row r="126" spans="2:3" ht="14.5" hidden="1" x14ac:dyDescent="0.35">
      <c r="B126" s="5" t="s">
        <v>26</v>
      </c>
      <c r="C126" s="10"/>
    </row>
    <row r="127" spans="2:3" ht="14.5" hidden="1" x14ac:dyDescent="0.35">
      <c r="B127" s="5" t="s">
        <v>26</v>
      </c>
      <c r="C127" s="10"/>
    </row>
    <row r="128" spans="2:3" ht="14.5" hidden="1" x14ac:dyDescent="0.35">
      <c r="B128" s="5" t="s">
        <v>26</v>
      </c>
      <c r="C128" s="10"/>
    </row>
    <row r="129" spans="2:3" ht="14.5" hidden="1" x14ac:dyDescent="0.35">
      <c r="B129" s="5" t="s">
        <v>26</v>
      </c>
      <c r="C129" s="10"/>
    </row>
    <row r="130" spans="2:3" ht="14.5" hidden="1" x14ac:dyDescent="0.35">
      <c r="B130" s="5" t="s">
        <v>26</v>
      </c>
      <c r="C130" s="10"/>
    </row>
    <row r="131" spans="2:3" ht="14.5" hidden="1" x14ac:dyDescent="0.35">
      <c r="B131" s="5" t="s">
        <v>26</v>
      </c>
      <c r="C131" s="10"/>
    </row>
    <row r="133" spans="2:3" ht="14.5" hidden="1" x14ac:dyDescent="0.35">
      <c r="B133" s="6" t="s">
        <v>20</v>
      </c>
    </row>
    <row r="134" spans="2:3" ht="14.5" hidden="1" x14ac:dyDescent="0.35">
      <c r="B134" s="6" t="s">
        <v>21</v>
      </c>
    </row>
    <row r="135" spans="2:3" ht="14.5" hidden="1" x14ac:dyDescent="0.35">
      <c r="B135" s="6" t="s">
        <v>22</v>
      </c>
    </row>
    <row r="140" spans="2:3" ht="14.5" hidden="1" x14ac:dyDescent="0.35">
      <c r="B140" s="6">
        <v>1</v>
      </c>
      <c r="C140" s="6" t="s">
        <v>7</v>
      </c>
    </row>
    <row r="141" spans="2:3" ht="14.5" hidden="1" x14ac:dyDescent="0.35">
      <c r="B141" s="6">
        <v>2</v>
      </c>
      <c r="C141" s="6" t="s">
        <v>8</v>
      </c>
    </row>
    <row r="142" spans="2:3" ht="14.5" hidden="1" x14ac:dyDescent="0.35">
      <c r="B142" s="6">
        <v>3</v>
      </c>
      <c r="C142" s="6" t="s">
        <v>9</v>
      </c>
    </row>
    <row r="143" spans="2:3" ht="14.5" hidden="1" x14ac:dyDescent="0.35">
      <c r="B143" s="6">
        <v>4</v>
      </c>
      <c r="C143" s="6" t="s">
        <v>10</v>
      </c>
    </row>
    <row r="144" spans="2:3" ht="14.5" hidden="1" x14ac:dyDescent="0.35">
      <c r="B144" s="6">
        <v>5</v>
      </c>
      <c r="C144" s="6" t="s">
        <v>11</v>
      </c>
    </row>
    <row r="145" spans="2:3" ht="14.5" hidden="1" x14ac:dyDescent="0.35">
      <c r="B145" s="6">
        <v>6</v>
      </c>
      <c r="C145" s="6" t="s">
        <v>12</v>
      </c>
    </row>
    <row r="146" spans="2:3" ht="14.5" hidden="1" x14ac:dyDescent="0.35">
      <c r="B146" s="6">
        <v>7</v>
      </c>
      <c r="C146" s="6" t="s">
        <v>13</v>
      </c>
    </row>
    <row r="147" spans="2:3" ht="14.5" hidden="1" x14ac:dyDescent="0.35">
      <c r="B147" s="6">
        <v>8</v>
      </c>
      <c r="C147" s="6" t="s">
        <v>14</v>
      </c>
    </row>
    <row r="148" spans="2:3" ht="14.5" hidden="1" x14ac:dyDescent="0.35">
      <c r="B148" s="6">
        <v>9</v>
      </c>
      <c r="C148" s="6" t="s">
        <v>15</v>
      </c>
    </row>
    <row r="149" spans="2:3" ht="14.5" hidden="1" x14ac:dyDescent="0.35">
      <c r="B149" s="6">
        <v>10</v>
      </c>
      <c r="C149" s="6" t="s">
        <v>16</v>
      </c>
    </row>
    <row r="150" spans="2:3" ht="14.5" hidden="1" x14ac:dyDescent="0.35">
      <c r="B150" s="6">
        <v>11</v>
      </c>
      <c r="C150" s="6" t="s">
        <v>17</v>
      </c>
    </row>
    <row r="151" spans="2:3" ht="14.5" hidden="1" x14ac:dyDescent="0.35">
      <c r="B151" s="6">
        <v>12</v>
      </c>
      <c r="C151" s="6" t="s">
        <v>18</v>
      </c>
    </row>
    <row r="212" spans="1:2" ht="15" hidden="1" customHeight="1" x14ac:dyDescent="0.35">
      <c r="A212" s="11"/>
      <c r="B212" s="11"/>
    </row>
    <row r="213" spans="1:2" ht="15" hidden="1" customHeight="1" x14ac:dyDescent="0.35">
      <c r="A213" s="3"/>
      <c r="B213" s="12"/>
    </row>
    <row r="214" spans="1:2" ht="15" hidden="1" customHeight="1" x14ac:dyDescent="0.35">
      <c r="A214" s="3"/>
      <c r="B214" s="12"/>
    </row>
    <row r="215" spans="1:2" ht="15" hidden="1" customHeight="1" x14ac:dyDescent="0.35">
      <c r="A215" s="3"/>
      <c r="B215" s="12"/>
    </row>
    <row r="216" spans="1:2" ht="15" hidden="1" customHeight="1" x14ac:dyDescent="0.35">
      <c r="A216" s="3"/>
      <c r="B216" s="12"/>
    </row>
    <row r="217" spans="1:2" ht="15" hidden="1" customHeight="1" x14ac:dyDescent="0.35">
      <c r="A217" s="3"/>
      <c r="B217" s="12"/>
    </row>
    <row r="218" spans="1:2" ht="15" hidden="1" customHeight="1" x14ac:dyDescent="0.35">
      <c r="A218" s="3"/>
      <c r="B218" s="12"/>
    </row>
    <row r="219" spans="1:2" ht="15" hidden="1" customHeight="1" x14ac:dyDescent="0.35">
      <c r="A219" s="3"/>
      <c r="B219" s="12"/>
    </row>
    <row r="220" spans="1:2" ht="15" hidden="1" customHeight="1" x14ac:dyDescent="0.35">
      <c r="A220" s="3"/>
      <c r="B220" s="12"/>
    </row>
    <row r="221" spans="1:2" ht="15" hidden="1" customHeight="1" x14ac:dyDescent="0.35">
      <c r="A221" s="3"/>
      <c r="B221" s="12"/>
    </row>
    <row r="222" spans="1:2" ht="15" hidden="1" customHeight="1" x14ac:dyDescent="0.35">
      <c r="A222" s="3"/>
      <c r="B222" s="12"/>
    </row>
    <row r="223" spans="1:2" ht="15" hidden="1" customHeight="1" x14ac:dyDescent="0.35">
      <c r="A223" s="3"/>
      <c r="B223" s="12"/>
    </row>
    <row r="224" spans="1:2" ht="15" hidden="1" customHeight="1" x14ac:dyDescent="0.35">
      <c r="A224" s="3"/>
      <c r="B224" s="12"/>
    </row>
    <row r="225" spans="1:2" ht="15" hidden="1" customHeight="1" x14ac:dyDescent="0.35">
      <c r="A225" s="3"/>
      <c r="B225" s="12"/>
    </row>
    <row r="226" spans="1:2" ht="15" hidden="1" customHeight="1" x14ac:dyDescent="0.35">
      <c r="A226" s="3"/>
      <c r="B226" s="12"/>
    </row>
    <row r="227" spans="1:2" ht="15" hidden="1" customHeight="1" x14ac:dyDescent="0.35">
      <c r="A227" s="3"/>
      <c r="B227" s="12"/>
    </row>
    <row r="228" spans="1:2" ht="15" hidden="1" customHeight="1" x14ac:dyDescent="0.35">
      <c r="A228" s="3"/>
      <c r="B228" s="12"/>
    </row>
    <row r="229" spans="1:2" ht="15" hidden="1" customHeight="1" x14ac:dyDescent="0.35">
      <c r="A229" s="3"/>
      <c r="B229" s="12"/>
    </row>
    <row r="230" spans="1:2" ht="15" hidden="1" customHeight="1" x14ac:dyDescent="0.35">
      <c r="A230" s="3"/>
      <c r="B230" s="12"/>
    </row>
    <row r="231" spans="1:2" ht="15" hidden="1" customHeight="1" x14ac:dyDescent="0.35">
      <c r="A231" s="3"/>
      <c r="B231" s="12"/>
    </row>
    <row r="232" spans="1:2" ht="15" hidden="1" customHeight="1" x14ac:dyDescent="0.35">
      <c r="A232" s="3"/>
      <c r="B232" s="12"/>
    </row>
    <row r="233" spans="1:2" ht="15" hidden="1" customHeight="1" x14ac:dyDescent="0.35">
      <c r="A233" s="3"/>
      <c r="B233" s="12"/>
    </row>
    <row r="234" spans="1:2" ht="15" hidden="1" customHeight="1" x14ac:dyDescent="0.35">
      <c r="A234" s="3"/>
      <c r="B234" s="12"/>
    </row>
    <row r="235" spans="1:2" ht="15" hidden="1" customHeight="1" x14ac:dyDescent="0.35">
      <c r="A235" s="3"/>
      <c r="B235" s="12"/>
    </row>
    <row r="236" spans="1:2" ht="15" hidden="1" customHeight="1" x14ac:dyDescent="0.35">
      <c r="A236" s="3"/>
      <c r="B236" s="12"/>
    </row>
    <row r="237" spans="1:2" ht="15" hidden="1" customHeight="1" x14ac:dyDescent="0.35">
      <c r="A237" s="3"/>
      <c r="B237" s="12"/>
    </row>
    <row r="238" spans="1:2" ht="15" hidden="1" customHeight="1" x14ac:dyDescent="0.35">
      <c r="A238" s="3"/>
      <c r="B238" s="12"/>
    </row>
    <row r="239" spans="1:2" ht="15" hidden="1" customHeight="1" x14ac:dyDescent="0.35">
      <c r="A239" s="3"/>
      <c r="B239" s="12"/>
    </row>
    <row r="240" spans="1:2" ht="15" hidden="1" customHeight="1" x14ac:dyDescent="0.35">
      <c r="A240" s="3"/>
      <c r="B240" s="12"/>
    </row>
    <row r="241" spans="1:2" ht="15" hidden="1" customHeight="1" x14ac:dyDescent="0.35">
      <c r="A241" s="3"/>
      <c r="B241" s="12"/>
    </row>
    <row r="242" spans="1:2" ht="15" hidden="1" customHeight="1" x14ac:dyDescent="0.35">
      <c r="A242" s="3"/>
      <c r="B242" s="12"/>
    </row>
    <row r="243" spans="1:2" ht="15" hidden="1" customHeight="1" x14ac:dyDescent="0.35">
      <c r="A243" s="3"/>
      <c r="B243" s="12"/>
    </row>
    <row r="244" spans="1:2" ht="15" hidden="1" customHeight="1" x14ac:dyDescent="0.35">
      <c r="A244" s="3"/>
      <c r="B244" s="12"/>
    </row>
    <row r="245" spans="1:2" ht="15" hidden="1" customHeight="1" x14ac:dyDescent="0.35">
      <c r="A245" s="3"/>
      <c r="B245" s="12"/>
    </row>
    <row r="246" spans="1:2" ht="15" hidden="1" customHeight="1" x14ac:dyDescent="0.35">
      <c r="A246" s="3"/>
      <c r="B246" s="18"/>
    </row>
    <row r="247" spans="1:2" ht="15" hidden="1" customHeight="1" x14ac:dyDescent="0.35">
      <c r="A247" s="3"/>
      <c r="B247" s="12"/>
    </row>
    <row r="248" spans="1:2" ht="15" hidden="1" customHeight="1" x14ac:dyDescent="0.35">
      <c r="A248" s="3"/>
      <c r="B248" s="18"/>
    </row>
    <row r="249" spans="1:2" ht="15" hidden="1" customHeight="1" x14ac:dyDescent="0.35">
      <c r="A249" s="3"/>
      <c r="B249" s="12"/>
    </row>
    <row r="250" spans="1:2" ht="15" hidden="1" customHeight="1" x14ac:dyDescent="0.35">
      <c r="A250" s="3"/>
      <c r="B250" s="18"/>
    </row>
    <row r="251" spans="1:2" ht="15" hidden="1" customHeight="1" x14ac:dyDescent="0.35">
      <c r="A251" s="3"/>
      <c r="B251" s="12"/>
    </row>
    <row r="252" spans="1:2" ht="15" customHeight="1" x14ac:dyDescent="0.35"/>
    <row r="253" spans="1:2" ht="15" customHeight="1" x14ac:dyDescent="0.35"/>
    <row r="254" spans="1:2" ht="15" customHeight="1" x14ac:dyDescent="0.35"/>
    <row r="255" spans="1:2" ht="15" customHeight="1" x14ac:dyDescent="0.35"/>
    <row r="256" spans="1:2" ht="15" customHeight="1" x14ac:dyDescent="0.35"/>
    <row r="257" ht="15" customHeight="1" x14ac:dyDescent="0.35"/>
    <row r="258" ht="15" customHeight="1" x14ac:dyDescent="0.35"/>
    <row r="259" ht="15" customHeight="1" x14ac:dyDescent="0.35"/>
    <row r="260" ht="15" customHeight="1" x14ac:dyDescent="0.35"/>
    <row r="261" ht="15" customHeight="1" x14ac:dyDescent="0.35"/>
    <row r="262" ht="15" customHeight="1" x14ac:dyDescent="0.35"/>
    <row r="263" ht="15" customHeight="1" x14ac:dyDescent="0.35"/>
    <row r="264" ht="15" customHeight="1" x14ac:dyDescent="0.35"/>
    <row r="265" ht="15" customHeight="1" x14ac:dyDescent="0.35"/>
    <row r="266" ht="15" customHeight="1" x14ac:dyDescent="0.35"/>
    <row r="267" ht="15" customHeight="1" x14ac:dyDescent="0.35"/>
    <row r="268" ht="15" customHeight="1" x14ac:dyDescent="0.35"/>
    <row r="269" ht="15" customHeight="1" x14ac:dyDescent="0.35"/>
    <row r="270" ht="15" customHeight="1" x14ac:dyDescent="0.35"/>
    <row r="271" ht="15" customHeight="1" x14ac:dyDescent="0.35"/>
    <row r="272" ht="15" customHeight="1" x14ac:dyDescent="0.35"/>
    <row r="273" ht="15" customHeight="1" x14ac:dyDescent="0.35"/>
    <row r="274" ht="15" customHeight="1" x14ac:dyDescent="0.35"/>
    <row r="275" ht="15" customHeight="1" x14ac:dyDescent="0.35"/>
    <row r="276" ht="15" customHeight="1" x14ac:dyDescent="0.35"/>
    <row r="277" ht="15" customHeight="1" x14ac:dyDescent="0.35"/>
    <row r="278" ht="15" customHeight="1" x14ac:dyDescent="0.35"/>
    <row r="279" ht="15" customHeight="1" x14ac:dyDescent="0.35"/>
    <row r="280" ht="15" customHeight="1" x14ac:dyDescent="0.35"/>
    <row r="281" ht="15" customHeight="1" x14ac:dyDescent="0.35"/>
    <row r="282" ht="15" customHeight="1" x14ac:dyDescent="0.35"/>
    <row r="283" ht="15" customHeight="1" x14ac:dyDescent="0.35"/>
    <row r="284" ht="15" customHeight="1" x14ac:dyDescent="0.35"/>
    <row r="285" ht="15" customHeight="1" x14ac:dyDescent="0.35"/>
    <row r="286" ht="15" customHeight="1" x14ac:dyDescent="0.35"/>
    <row r="287" ht="15" customHeight="1" x14ac:dyDescent="0.35"/>
    <row r="288" ht="15" customHeight="1" x14ac:dyDescent="0.35"/>
    <row r="289" ht="15" customHeight="1" x14ac:dyDescent="0.35"/>
    <row r="290" ht="15" customHeight="1" x14ac:dyDescent="0.35"/>
    <row r="291" ht="15" customHeight="1" x14ac:dyDescent="0.35"/>
    <row r="292" ht="15" customHeight="1" x14ac:dyDescent="0.35"/>
    <row r="293" ht="15" customHeight="1" x14ac:dyDescent="0.35"/>
    <row r="294" ht="15" customHeight="1" x14ac:dyDescent="0.35"/>
    <row r="295" ht="15" customHeight="1" x14ac:dyDescent="0.35"/>
    <row r="296" ht="15" customHeight="1" x14ac:dyDescent="0.35"/>
    <row r="297" ht="15" customHeight="1" x14ac:dyDescent="0.35"/>
    <row r="298" ht="15" customHeight="1" x14ac:dyDescent="0.35"/>
    <row r="299" ht="15" customHeight="1" x14ac:dyDescent="0.35"/>
    <row r="300" ht="15" customHeight="1" x14ac:dyDescent="0.35"/>
    <row r="301" ht="15" customHeight="1" x14ac:dyDescent="0.35"/>
    <row r="302" ht="15" customHeight="1" x14ac:dyDescent="0.35"/>
    <row r="303" ht="15" customHeight="1" x14ac:dyDescent="0.35"/>
    <row r="304" ht="15" customHeight="1" x14ac:dyDescent="0.35"/>
    <row r="305" ht="15" customHeight="1" x14ac:dyDescent="0.35"/>
    <row r="306" ht="15" customHeight="1" x14ac:dyDescent="0.35"/>
    <row r="307" ht="15" customHeight="1" x14ac:dyDescent="0.35"/>
    <row r="308" ht="15" customHeight="1" x14ac:dyDescent="0.35"/>
    <row r="309" ht="15" customHeight="1" x14ac:dyDescent="0.35"/>
    <row r="310" ht="15" customHeight="1" x14ac:dyDescent="0.35"/>
    <row r="311" ht="15" customHeight="1" x14ac:dyDescent="0.35"/>
    <row r="312" ht="15" customHeight="1" x14ac:dyDescent="0.35"/>
    <row r="313" ht="15" customHeight="1" x14ac:dyDescent="0.35"/>
    <row r="314" ht="15" customHeight="1" x14ac:dyDescent="0.35"/>
    <row r="315" ht="15" customHeight="1" x14ac:dyDescent="0.35"/>
    <row r="316" ht="15" customHeight="1" x14ac:dyDescent="0.35"/>
    <row r="317" ht="15" customHeight="1" x14ac:dyDescent="0.35"/>
    <row r="318" ht="15" customHeight="1" x14ac:dyDescent="0.35"/>
    <row r="319" ht="15" customHeight="1" x14ac:dyDescent="0.35"/>
    <row r="320" ht="15" customHeight="1" x14ac:dyDescent="0.35"/>
    <row r="321" ht="15" customHeight="1" x14ac:dyDescent="0.35"/>
    <row r="322" ht="15" customHeight="1" x14ac:dyDescent="0.35"/>
    <row r="323" ht="15" customHeight="1" x14ac:dyDescent="0.35"/>
    <row r="324" ht="15" customHeight="1" x14ac:dyDescent="0.35"/>
    <row r="325" ht="15" customHeight="1" x14ac:dyDescent="0.35"/>
    <row r="326" ht="15" customHeight="1" x14ac:dyDescent="0.35"/>
    <row r="327" ht="15" customHeight="1" x14ac:dyDescent="0.35"/>
    <row r="328" ht="15" customHeight="1" x14ac:dyDescent="0.35"/>
  </sheetData>
  <sortState xmlns:xlrd2="http://schemas.microsoft.com/office/spreadsheetml/2017/richdata2" ref="A290:B328">
    <sortCondition ref="A289"/>
  </sortState>
  <pageMargins left="0.78740157499999996" right="0.78740157499999996" top="0.984251969" bottom="0.984251969" header="0.4921259845" footer="0.4921259845"/>
  <pageSetup paperSize="9" scale="41" orientation="portrait" horizontalDpi="4294967293" r:id="rId1"/>
  <headerFooter alignWithMargins="0"/>
  <colBreaks count="1" manualBreakCount="1">
    <brk id="3" max="284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Standards</vt:lpstr>
      <vt:lpstr>SearchSelect</vt:lpstr>
    </vt:vector>
  </TitlesOfParts>
  <Company>Privat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SearchAutofill</dc:title>
  <cp:lastModifiedBy>Jesko Rehberg</cp:lastModifiedBy>
  <cp:lastPrinted>2014-05-05T09:44:43Z</cp:lastPrinted>
  <dcterms:created xsi:type="dcterms:W3CDTF">2001-02-25T15:50:30Z</dcterms:created>
  <dcterms:modified xsi:type="dcterms:W3CDTF">2022-05-24T09:31:46Z</dcterms:modified>
</cp:coreProperties>
</file>